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af17a47d5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s" sheetId="1" r:id="Rb17ece4a654d4fb1"/>
    <x:sheet xmlns:r="http://schemas.openxmlformats.org/officeDocument/2006/relationships" name="README" sheetId="2" r:id="Rc87c421e38584852"/>
    <x:sheet xmlns:r="http://schemas.openxmlformats.org/officeDocument/2006/relationships" name="Scenario assumptions" sheetId="3" r:id="Re09f96422c5d473e"/>
    <x:sheet xmlns:r="http://schemas.openxmlformats.org/officeDocument/2006/relationships" name="Evidence" sheetId="4" r:id="Rbb3db847087e4992"/>
  </x:sheets>
</x:workbook>
</file>

<file path=xl/sharedStrings.xml><?xml version="1.0" encoding="utf-8"?>
<x:sst xmlns:x="http://schemas.openxmlformats.org/spreadsheetml/2006/main">
  <x:si>
    <x:t xml:space="preserve">Metal primary/secondary shares map</x:t>
  </x:si>
  <x:si>
    <x:t xml:space="preserve">Edit the share columns (D:G). Columns H:J validate that primary + secondary = 1.0 for each year. YAML export included separately.</x:t>
  </x:si>
  <x:si>
    <x:t xml:space="preserve">YAML key</x:t>
  </x:si>
  <x:si>
    <x:t xml:space="preserve">name</x:t>
  </x:si>
  <x:si>
    <x:t xml:space="preserve">reference product</x:t>
  </x:si>
  <x:si>
    <x:t xml:space="preserve">primary_2020</x:t>
  </x:si>
  <x:si>
    <x:t xml:space="preserve">primary_2050</x:t>
  </x:si>
  <x:si>
    <x:t xml:space="preserve">secondary_2020</x:t>
  </x:si>
  <x:si>
    <x:t xml:space="preserve">secondary_2050</x:t>
  </x:si>
  <x:si>
    <x:t xml:space="preserve">total_2020</x:t>
  </x:si>
  <x:si>
    <x:t xml:space="preserve">total_2050</x:t>
  </x:si>
  <x:si>
    <x:t xml:space="preserve">valid_totals</x:t>
  </x:si>
  <x:si>
    <x:t xml:space="preserve">stibnite concentrate</x:t>
  </x:si>
  <x:si>
    <x:t xml:space="preserve">market for stibnite concentrate</x:t>
  </x:si>
  <x:si>
    <x:t xml:space="preserve">antimony</x:t>
  </x:si>
  <x:si>
    <x:t xml:space="preserve">market for antimony</x:t>
  </x:si>
  <x:si>
    <x:t xml:space="preserve">bauxite</x:t>
  </x:si>
  <x:si>
    <x:t xml:space="preserve">market for bauxite</x:t>
  </x:si>
  <x:si>
    <x:t xml:space="preserve">aluminium hydroxide</x:t>
  </x:si>
  <x:si>
    <x:t xml:space="preserve">market for aluminium hydroxide</x:t>
  </x:si>
  <x:si>
    <x:t xml:space="preserve">aluminium oxide, metallurgical</x:t>
  </x:si>
  <x:si>
    <x:t xml:space="preserve">market for aluminium oxide, metallurgical</x:t>
  </x:si>
  <x:si>
    <x:t xml:space="preserve">aluminium, primary, liquid</x:t>
  </x:si>
  <x:si>
    <x:t xml:space="preserve">market for aluminium, primary, liquid</x:t>
  </x:si>
  <x:si>
    <x:t xml:space="preserve">aluminium, primary, ingot</x:t>
  </x:si>
  <x:si>
    <x:t xml:space="preserve">market for aluminium, primary, ingot</x:t>
  </x:si>
  <x:si>
    <x:t xml:space="preserve">aluminium, cast alloy</x:t>
  </x:si>
  <x:si>
    <x:t xml:space="preserve">market for aluminium, cast alloy</x:t>
  </x:si>
  <x:si>
    <x:t xml:space="preserve">bentonite</x:t>
  </x:si>
  <x:si>
    <x:t xml:space="preserve">market for bentonite</x:t>
  </x:si>
  <x:si>
    <x:t xml:space="preserve">beryllium hydroxide</x:t>
  </x:si>
  <x:si>
    <x:t xml:space="preserve">market for beryllium hydroxide</x:t>
  </x:si>
  <x:si>
    <x:t xml:space="preserve">beryllium</x:t>
  </x:si>
  <x:si>
    <x:t xml:space="preserve">market for beryllium</x:t>
  </x:si>
  <x:si>
    <x:t xml:space="preserve">calcium borates</x:t>
  </x:si>
  <x:si>
    <x:t xml:space="preserve">market calcium borates</x:t>
  </x:si>
  <x:si>
    <x:t xml:space="preserve">sodium borates</x:t>
  </x:si>
  <x:si>
    <x:t xml:space="preserve">market for sodium borates</x:t>
  </x:si>
  <x:si>
    <x:t xml:space="preserve">boric acid, anhydrous, powder</x:t>
  </x:si>
  <x:si>
    <x:t xml:space="preserve">market for boric acid, anhydrous, powder</x:t>
  </x:si>
  <x:si>
    <x:t xml:space="preserve">boron trifluoride</x:t>
  </x:si>
  <x:si>
    <x:t xml:space="preserve">market for boron trifluoride</x:t>
  </x:si>
  <x:si>
    <x:t xml:space="preserve">boric oxide</x:t>
  </x:si>
  <x:si>
    <x:t xml:space="preserve">market boric oxide</x:t>
  </x:si>
  <x:si>
    <x:t xml:space="preserve">boron carbide</x:t>
  </x:si>
  <x:si>
    <x:t xml:space="preserve">market for boron carbide</x:t>
  </x:si>
  <x:si>
    <x:t xml:space="preserve">cadmium</x:t>
  </x:si>
  <x:si>
    <x:t xml:space="preserve">market for cadmium</x:t>
  </x:si>
  <x:si>
    <x:t xml:space="preserve">chromite ore concentrate</x:t>
  </x:si>
  <x:si>
    <x:t xml:space="preserve">market for chromite ore concentrate</x:t>
  </x:si>
  <x:si>
    <x:t xml:space="preserve">chromium</x:t>
  </x:si>
  <x:si>
    <x:t xml:space="preserve">market for chromium</x:t>
  </x:si>
  <x:si>
    <x:t xml:space="preserve">copper-cobalt ore</x:t>
  </x:si>
  <x:si>
    <x:t xml:space="preserve">market for copper-cobalt ore</x:t>
  </x:si>
  <x:si>
    <x:t xml:space="preserve">cobalt hydroxide</x:t>
  </x:si>
  <x:si>
    <x:t xml:space="preserve">market for cobalt hydroxide</x:t>
  </x:si>
  <x:si>
    <x:t xml:space="preserve">cobalt sulfate</x:t>
  </x:si>
  <x:si>
    <x:t xml:space="preserve">market for cobalt sulfate</x:t>
  </x:si>
  <x:si>
    <x:t xml:space="preserve">cobalt</x:t>
  </x:si>
  <x:si>
    <x:t xml:space="preserve">market for cobalt</x:t>
  </x:si>
  <x:si>
    <x:t xml:space="preserve">copper concentrate, sulfide ore</x:t>
  </x:si>
  <x:si>
    <x:t xml:space="preserve">market for copper concentrate, sulfide ore</x:t>
  </x:si>
  <x:si>
    <x:t xml:space="preserve">copper, anode</x:t>
  </x:si>
  <x:si>
    <x:t xml:space="preserve">market for copper, anode</x:t>
  </x:si>
  <x:si>
    <x:t xml:space="preserve">copper, cathode</x:t>
  </x:si>
  <x:si>
    <x:t xml:space="preserve">market for copper, cathode</x:t>
  </x:si>
  <x:si>
    <x:t xml:space="preserve">gallium, semiconductor-grade</x:t>
  </x:si>
  <x:si>
    <x:t xml:space="preserve">market for gallium, semiconductor-grade</x:t>
  </x:si>
  <x:si>
    <x:t xml:space="preserve">germanium, concentrate</x:t>
  </x:si>
  <x:si>
    <x:t xml:space="preserve">market for germanium, concentrate</x:t>
  </x:si>
  <x:si>
    <x:t xml:space="preserve">gold</x:t>
  </x:si>
  <x:si>
    <x:t xml:space="preserve">market for gold</x:t>
  </x:si>
  <x:si>
    <x:t xml:space="preserve">graphite</x:t>
  </x:si>
  <x:si>
    <x:t xml:space="preserve">market for graphite</x:t>
  </x:si>
  <x:si>
    <x:t xml:space="preserve">graphite ore, mined</x:t>
  </x:si>
  <x:si>
    <x:t xml:space="preserve">market for graphite ore, mined</x:t>
  </x:si>
  <x:si>
    <x:t xml:space="preserve">hafnium tetrachloride</x:t>
  </x:si>
  <x:si>
    <x:t xml:space="preserve">market for hafnium tetrachloride</x:t>
  </x:si>
  <x:si>
    <x:t xml:space="preserve">hafnium sponge</x:t>
  </x:si>
  <x:si>
    <x:t xml:space="preserve">market for hafnium sponge</x:t>
  </x:si>
  <x:si>
    <x:t xml:space="preserve">indium rich leaching residues, from zinc production</x:t>
  </x:si>
  <x:si>
    <x:t xml:space="preserve">market for indium rich leaching residues, from zinc production</x:t>
  </x:si>
  <x:si>
    <x:t xml:space="preserve">indium</x:t>
  </x:si>
  <x:si>
    <x:t xml:space="preserve">market for indium</x:t>
  </x:si>
  <x:si>
    <x:t xml:space="preserve">iridium</x:t>
  </x:si>
  <x:si>
    <x:t xml:space="preserve">market for iridium</x:t>
  </x:si>
  <x:si>
    <x:t xml:space="preserve">iron ore concentrate</x:t>
  </x:si>
  <x:si>
    <x:t xml:space="preserve">market for iron ore concentrate</x:t>
  </x:si>
  <x:si>
    <x:t xml:space="preserve">lead concentrate</x:t>
  </x:si>
  <x:si>
    <x:t xml:space="preserve">market for lead concentrate</x:t>
  </x:si>
  <x:si>
    <x:t xml:space="preserve">lead</x:t>
  </x:si>
  <x:si>
    <x:t xml:space="preserve">market for lead</x:t>
  </x:si>
  <x:si>
    <x:t xml:space="preserve">spodumene</x:t>
  </x:si>
  <x:si>
    <x:t xml:space="preserve">market for spodumene</x:t>
  </x:si>
  <x:si>
    <x:t xml:space="preserve">lithium carbonate, battery grade</x:t>
  </x:si>
  <x:si>
    <x:t xml:space="preserve">market for lithium carbonate, battery grade</x:t>
  </x:si>
  <x:si>
    <x:t xml:space="preserve">lithium hydroxide, battery grade</x:t>
  </x:si>
  <x:si>
    <x:t xml:space="preserve">market for lithium hydroxide, battery grade</x:t>
  </x:si>
  <x:si>
    <x:t xml:space="preserve">dolomite</x:t>
  </x:si>
  <x:si>
    <x:t xml:space="preserve">market for dolomite</x:t>
  </x:si>
  <x:si>
    <x:t xml:space="preserve">magnesium</x:t>
  </x:si>
  <x:si>
    <x:t xml:space="preserve">market for magnesium</x:t>
  </x:si>
  <x:si>
    <x:t xml:space="preserve">manganese concentrate</x:t>
  </x:si>
  <x:si>
    <x:t xml:space="preserve">market for manganese concentrate</x:t>
  </x:si>
  <x:si>
    <x:t xml:space="preserve">manganese</x:t>
  </x:si>
  <x:si>
    <x:t xml:space="preserve">market for manganese</x:t>
  </x:si>
  <x:si>
    <x:t xml:space="preserve">molybdenite</x:t>
  </x:si>
  <x:si>
    <x:t xml:space="preserve">market for molybdenite</x:t>
  </x:si>
  <x:si>
    <x:t xml:space="preserve">molybdenum</x:t>
  </x:si>
  <x:si>
    <x:t xml:space="preserve">market for molybdenum</x:t>
  </x:si>
  <x:si>
    <x:t xml:space="preserve">nickel concentrate, 16% Ni</x:t>
  </x:si>
  <x:si>
    <x:t xml:space="preserve">market for nickel concentrate, 16% Ni</x:t>
  </x:si>
  <x:si>
    <x:t xml:space="preserve">nickel, class 1</x:t>
  </x:si>
  <x:si>
    <x:t xml:space="preserve">market for nickel, class 1</x:t>
  </x:si>
  <x:si>
    <x:t xml:space="preserve">phosphate rock, beneficiated</x:t>
  </x:si>
  <x:si>
    <x:t xml:space="preserve">market for phosphate rock, beneficiated</x:t>
  </x:si>
  <x:si>
    <x:t xml:space="preserve">phosphoric acid, fertiliser grade, without water, in 70% solution state</x:t>
  </x:si>
  <x:si>
    <x:t xml:space="preserve">market for phosphoric acid, fertiliser grade, without water, in 70% solution state</x:t>
  </x:si>
  <x:si>
    <x:t xml:space="preserve">phosphorus, white, liquid</x:t>
  </x:si>
  <x:si>
    <x:t xml:space="preserve">market for phosphorus, white, liquid</x:t>
  </x:si>
  <x:si>
    <x:t xml:space="preserve">palladium</x:t>
  </x:si>
  <x:si>
    <x:t xml:space="preserve">market for palladium</x:t>
  </x:si>
  <x:si>
    <x:t xml:space="preserve">platinum</x:t>
  </x:si>
  <x:si>
    <x:t xml:space="preserve">market for platinum</x:t>
  </x:si>
  <x:si>
    <x:t xml:space="preserve">platinum group metal concentrate</x:t>
  </x:si>
  <x:si>
    <x:t xml:space="preserve">market for platinum group metal concentrate</x:t>
  </x:si>
  <x:si>
    <x:t xml:space="preserve">potash salt</x:t>
  </x:si>
  <x:si>
    <x:t xml:space="preserve">market for potash salt</x:t>
  </x:si>
  <x:si>
    <x:t xml:space="preserve">rare earth carbonate concentrate</x:t>
  </x:si>
  <x:si>
    <x:t xml:space="preserve">market for rare earth carbonate concentrate</x:t>
  </x:si>
  <x:si>
    <x:t xml:space="preserve">dysprosium oxide</x:t>
  </x:si>
  <x:si>
    <x:t xml:space="preserve">market for dysprosium oxide</x:t>
  </x:si>
  <x:si>
    <x:t xml:space="preserve">erbium oxide</x:t>
  </x:si>
  <x:si>
    <x:t xml:space="preserve">market for erbium oxide</x:t>
  </x:si>
  <x:si>
    <x:t xml:space="preserve">europium oxide</x:t>
  </x:si>
  <x:si>
    <x:t xml:space="preserve">market for europium oxide</x:t>
  </x:si>
  <x:si>
    <x:t xml:space="preserve">gadolinium oxide</x:t>
  </x:si>
  <x:si>
    <x:t xml:space="preserve">market for gadolinium oxide</x:t>
  </x:si>
  <x:si>
    <x:t xml:space="preserve">ytterbium oxide</x:t>
  </x:si>
  <x:si>
    <x:t xml:space="preserve">market for ytterbium oxide</x:t>
  </x:si>
  <x:si>
    <x:t xml:space="preserve">terbium oxide</x:t>
  </x:si>
  <x:si>
    <x:t xml:space="preserve">market for terbium oxide</x:t>
  </x:si>
  <x:si>
    <x:t xml:space="preserve">thulium oxide</x:t>
  </x:si>
  <x:si>
    <x:t xml:space="preserve">market for thulium oxide</x:t>
  </x:si>
  <x:si>
    <x:t xml:space="preserve">yttrium oxide</x:t>
  </x:si>
  <x:si>
    <x:t xml:space="preserve">market for yttrium oxide</x:t>
  </x:si>
  <x:si>
    <x:t xml:space="preserve">samarium oxide</x:t>
  </x:si>
  <x:si>
    <x:t xml:space="preserve">market for samarium oxide</x:t>
  </x:si>
  <x:si>
    <x:t xml:space="preserve">scandium oxide</x:t>
  </x:si>
  <x:si>
    <x:t xml:space="preserve">market for scandium oxide</x:t>
  </x:si>
  <x:si>
    <x:t xml:space="preserve">lanthanum oxide</x:t>
  </x:si>
  <x:si>
    <x:t xml:space="preserve">market for lanthanum oxide</x:t>
  </x:si>
  <x:si>
    <x:t xml:space="preserve">praseodymium oxide</x:t>
  </x:si>
  <x:si>
    <x:t xml:space="preserve">market for praseodymium oxide</x:t>
  </x:si>
  <x:si>
    <x:t xml:space="preserve">neodymium oxide</x:t>
  </x:si>
  <x:si>
    <x:t xml:space="preserve">market for neodymium oxide</x:t>
  </x:si>
  <x:si>
    <x:t xml:space="preserve">lutetium oxide</x:t>
  </x:si>
  <x:si>
    <x:t xml:space="preserve">market for lutetium oxide</x:t>
  </x:si>
  <x:si>
    <x:t xml:space="preserve">holmium oxide</x:t>
  </x:si>
  <x:si>
    <x:t xml:space="preserve">market for holmium oxide</x:t>
  </x:si>
  <x:si>
    <x:t xml:space="preserve">cerium oxide</x:t>
  </x:si>
  <x:si>
    <x:t xml:space="preserve">market for cerium oxide</x:t>
  </x:si>
  <x:si>
    <x:t xml:space="preserve">lanthanum-cerium oxide</x:t>
  </x:si>
  <x:si>
    <x:t xml:space="preserve">market for lanthanum-cerium oxide</x:t>
  </x:si>
  <x:si>
    <x:t xml:space="preserve">rhenium</x:t>
  </x:si>
  <x:si>
    <x:t xml:space="preserve">market for rhenium</x:t>
  </x:si>
  <x:si>
    <x:t xml:space="preserve">ruthenium</x:t>
  </x:si>
  <x:si>
    <x:t xml:space="preserve">market for ruthenium</x:t>
  </x:si>
  <x:si>
    <x:t xml:space="preserve">selenium</x:t>
  </x:si>
  <x:si>
    <x:t xml:space="preserve">market for selenium</x:t>
  </x:si>
  <x:si>
    <x:t xml:space="preserve">sand</x:t>
  </x:si>
  <x:si>
    <x:t xml:space="preserve">market for sand</x:t>
  </x:si>
  <x:si>
    <x:t xml:space="preserve">silica sand</x:t>
  </x:si>
  <x:si>
    <x:t xml:space="preserve">market for silica sand</x:t>
  </x:si>
  <x:si>
    <x:t xml:space="preserve">silicon, metallurgical grade</x:t>
  </x:si>
  <x:si>
    <x:t xml:space="preserve">market for silicon, metallurgical grade</x:t>
  </x:si>
  <x:si>
    <x:t xml:space="preserve">silver</x:t>
  </x:si>
  <x:si>
    <x:t xml:space="preserve">market for silver</x:t>
  </x:si>
  <x:si>
    <x:t xml:space="preserve">strontium sulfate, 90% SrSO4</x:t>
  </x:si>
  <x:si>
    <x:t xml:space="preserve">market for strontium sulfate, 90% SrSO4</x:t>
  </x:si>
  <x:si>
    <x:t xml:space="preserve">sulfur</x:t>
  </x:si>
  <x:si>
    <x:t xml:space="preserve">market for sulfur</x:t>
  </x:si>
  <x:si>
    <x:t xml:space="preserve">pyrochlore concentrate</x:t>
  </x:si>
  <x:si>
    <x:t xml:space="preserve">market for pyrochlore concentrate</x:t>
  </x:si>
  <x:si>
    <x:t xml:space="preserve">ferroniobium, 66% Nb</x:t>
  </x:si>
  <x:si>
    <x:t xml:space="preserve">market for ferroniobium, 66% Nb</x:t>
  </x:si>
  <x:si>
    <x:t xml:space="preserve">tantalum concentrate, 30% Ta2O5</x:t>
  </x:si>
  <x:si>
    <x:t xml:space="preserve">market for tantalum concentrate, 30% Ta2O5</x:t>
  </x:si>
  <x:si>
    <x:t xml:space="preserve">tellurium, semiconductor-grade</x:t>
  </x:si>
  <x:si>
    <x:t xml:space="preserve">market for tellurium, semiconductor-grade</x:t>
  </x:si>
  <x:si>
    <x:t xml:space="preserve">tin concentrate</x:t>
  </x:si>
  <x:si>
    <x:t xml:space="preserve">market for tin concentrate</x:t>
  </x:si>
  <x:si>
    <x:t xml:space="preserve">tin</x:t>
  </x:si>
  <x:si>
    <x:t xml:space="preserve">market for tin</x:t>
  </x:si>
  <x:si>
    <x:t xml:space="preserve">ilmenite, 54% titanium dioxide</x:t>
  </x:si>
  <x:si>
    <x:t xml:space="preserve">market for ilmenite, 54% titanium dioxide</x:t>
  </x:si>
  <x:si>
    <x:t xml:space="preserve">rutile, 95% titanium dioxide</x:t>
  </x:si>
  <x:si>
    <x:t xml:space="preserve">market for rutile, 95% titanium dioxide</x:t>
  </x:si>
  <x:si>
    <x:t xml:space="preserve">titanium tetrachloride</x:t>
  </x:si>
  <x:si>
    <x:t xml:space="preserve">market for titanium tetrachloride</x:t>
  </x:si>
  <x:si>
    <x:t xml:space="preserve">titanium sponge</x:t>
  </x:si>
  <x:si>
    <x:t xml:space="preserve">market for titanium sponge</x:t>
  </x:si>
  <x:si>
    <x:t xml:space="preserve">titanium</x:t>
  </x:si>
  <x:si>
    <x:t xml:space="preserve">market for titanium</x:t>
  </x:si>
  <x:si>
    <x:t xml:space="preserve">tungsten concentrate</x:t>
  </x:si>
  <x:si>
    <x:t xml:space="preserve">market for tungsten concentrate</x:t>
  </x:si>
  <x:si>
    <x:t xml:space="preserve">uranium ore, as U</x:t>
  </x:si>
  <x:si>
    <x:t xml:space="preserve">market for uranium ore, as U</x:t>
  </x:si>
  <x:si>
    <x:t xml:space="preserve">vanadium bearing magnetite</x:t>
  </x:si>
  <x:si>
    <x:t xml:space="preserve">market for vanadium bearing magnetite</x:t>
  </x:si>
  <x:si>
    <x:t xml:space="preserve">vanadium pentoxide</x:t>
  </x:si>
  <x:si>
    <x:t xml:space="preserve">market for vanadium pentoxide</x:t>
  </x:si>
  <x:si>
    <x:t xml:space="preserve">zinc concentrate</x:t>
  </x:si>
  <x:si>
    <x:t xml:space="preserve">market for zinc concentrate</x:t>
  </x:si>
  <x:si>
    <x:t xml:space="preserve">zinc</x:t>
  </x:si>
  <x:si>
    <x:t xml:space="preserve">market for zinc</x:t>
  </x:si>
  <x:si>
    <x:t xml:space="preserve">zircon</x:t>
  </x:si>
  <x:si>
    <x:t xml:space="preserve">market for zircon</x:t>
  </x:si>
  <x:si>
    <x:t xml:space="preserve">Workbook guide</x:t>
  </x:si>
  <x:si>
    <x:t xml:space="preserve">Sheet</x:t>
  </x:si>
  <x:si>
    <x:t xml:space="preserve">Purpose</x:t>
  </x:si>
  <x:si>
    <x:t xml:space="preserve">Editable?</x:t>
  </x:si>
  <x:si>
    <x:t xml:space="preserve">Notes</x:t>
  </x:si>
  <x:si>
    <x:t xml:space="preserve">Shares</x:t>
  </x:si>
  <x:si>
    <x:t xml:space="preserve">Main data table for metal shares</x:t>
  </x:si>
  <x:si>
    <x:t xml:space="preserve">Yes</x:t>
  </x:si>
  <x:si>
    <x:t xml:space="preserve">Edit columns D:G if needed; H:J check row totals.</x:t>
  </x:si>
  <x:si>
    <x:t xml:space="preserve">README</x:t>
  </x:si>
  <x:si>
    <x:t xml:space="preserve">Quick reference</x:t>
  </x:si>
  <x:si>
    <x:t xml:space="preserve">No</x:t>
  </x:si>
  <x:si>
    <x:t xml:space="preserve">Explains the workbook layout and export file.</x:t>
  </x:si>
  <x:si>
    <x:t xml:space="preserve">Expected YAML structure</x:t>
  </x:si>
  <x:si>
    <x:t xml:space="preserve">key -&gt; {name, reference product, shares:{primary:{2020,2050}, secondary:{2020,2050}}}</x:t>
  </x:si>
</x:sst>
</file>

<file path=xl/styles.xml><?xml version="1.0" encoding="utf-8"?>
<x:styleSheet xmlns:x="http://schemas.openxmlformats.org/spreadsheetml/2006/main">
  <x:numFmts count="5">
    <x:numFmt numFmtId="164" formatCode="0.###############"/>
    <x:numFmt numFmtId="200" formatCode="0.00%"/>
    <x:numFmt numFmtId="201" formatCode="0.000%"/>
    <x:numFmt numFmtId="202" formatCode="0.0000%"/>
    <x:numFmt numFmtId="203" formatCode="#,##0.0"/>
  </x:numFmts>
  <x:fonts count="12">
    <x:font>
      <x:sz val="11"/>
      <x:color theme="1"/>
      <x:name val="Calibri"/>
      <x:family val="2"/>
      <x:scheme val="minor"/>
    </x:font>
    <x:font>
      <x:b/>
      <x:sz val="14"/>
      <x:color rgb="FFFFFFFF"/>
      <x:name val="Calibri"/>
    </x:font>
    <x:font>
      <x:sz val="10"/>
      <x:color rgb="FF7F6000"/>
      <x:name val="Calibri"/>
    </x:font>
    <x:font>
      <x:b/>
      <x:sz val="11"/>
      <x:color rgb="FFFFFFFF"/>
      <x:name val="Calibri"/>
    </x:font>
    <x:font>
      <x:sz val="11"/>
      <x:color rgb="FF666666"/>
      <x:name val="Calibri"/>
    </x:font>
    <x:font>
      <x:sz val="11"/>
      <x:color rgb="FF0000FF"/>
      <x:name val="Calibri"/>
    </x:font>
    <x:font>
      <x:sz val="11"/>
      <x:color rgb="FF000000"/>
      <x:name val="Calibri"/>
    </x:font>
    <x:font>
      <x:b/>
      <x:sz val="11"/>
      <x:name val="Calibri"/>
    </x:font>
    <x:font>
      <x:sz val="10"/>
      <x:color theme="1"/>
      <x:name val="Arial"/>
      <x:family val="2"/>
      <x:scheme val="minor"/>
    </x:font>
    <x:font>
      <x:b/>
      <x:sz val="14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b/>
      <x:sz val="11"/>
      <x:color rgb="FFFFFFFF"/>
      <x:name val="Calibri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1F1F1F"/>
      </x:patternFill>
    </x:fill>
    <x:fill>
      <x:patternFill patternType="solid">
        <x:fgColor rgb="FF263D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3" fillId="4" borderId="1" xfId="0" applyFont="1" applyFill="1" applyBorder="1" applyAlignment="1">
      <x:alignment horizontal="center" vertical="center"/>
    </x:xf>
    <x:xf numFmtId="0" fontId="4" fillId="0" borderId="0" xfId="0" applyFont="1" applyAlignment="1">
      <x:alignment vertical="top"/>
    </x:xf>
    <x:xf numFmtId="164" fontId="5" fillId="0" borderId="0" xfId="0" applyNumberFormat="1" applyFont="1"/>
    <x:xf numFmtId="164" fontId="6" fillId="0" borderId="0" xfId="0" applyNumberFormat="1" applyFont="1"/>
    <x:xf numFmtId="0" fontId="6" fillId="0" borderId="0" xfId="0" applyFont="1"/>
    <x:xf numFmtId="0" fontId="3" fillId="4" borderId="0" xfId="0" applyFont="1" applyFill="1" applyAlignment="1">
      <x:alignment horizontal="center"/>
    </x:xf>
    <x:xf numFmtId="0" fontId="0" fillId="0" borderId="0" xfId="0" applyAlignment="1">
      <x:alignment wrapText="1"/>
    </x:xf>
    <x:xf numFmtId="0" fontId="0" fillId="0" borderId="0" xfId="0" applyAlignment="1">
      <x:alignment horizontal="center"/>
    </x:xf>
    <x:xf numFmtId="0" fontId="7" fillId="0" borderId="0" xfId="0" applyFont="1"/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vertical="center" wrapText="1"/>
    </x:xf>
    <x:xf numFmtId="0" fontId="1" fillId="2" borderId="0" xfId="0" applyFont="1" applyFill="1" applyAlignment="1">
      <x:alignment horizontal="left"/>
    </x:xf>
    <x:xf numFmtId="0" fontId="0" fillId="0" borderId="0" xfId="0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3" fontId="8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c61cd43de45ca" /><Relationship Type="http://schemas.openxmlformats.org/officeDocument/2006/relationships/theme" Target="/xl/theme/theme1.xml" Id="Rdd437c1c269f45bb" /><Relationship Type="http://schemas.openxmlformats.org/officeDocument/2006/relationships/sharedStrings" Target="/xl/sharedStrings.xml" Id="R0ce07239ef9c483e" /><Relationship Type="http://schemas.openxmlformats.org/officeDocument/2006/relationships/worksheet" Target="/xl/worksheets/sheet1.xml" Id="Rb17ece4a654d4fb1" /><Relationship Type="http://schemas.openxmlformats.org/officeDocument/2006/relationships/worksheet" Target="/xl/worksheets/sheet2.xml" Id="Rc87c421e38584852" /><Relationship Type="http://schemas.openxmlformats.org/officeDocument/2006/relationships/worksheet" Target="/xl/worksheets/sheet3.xml" Id="Re09f96422c5d473e" /><Relationship Type="http://schemas.openxmlformats.org/officeDocument/2006/relationships/worksheet" Target="/xl/worksheets/sheet4.xml" Id="Rbb3db847087e4992" /></Relationships>
</file>

<file path=xl/tables/table1.xml><?xml version="1.0" encoding="utf-8"?>
<x:table xmlns:x="http://schemas.openxmlformats.org/spreadsheetml/2006/main" id="1" name="MetalSharesTable" displayName="MetalSharesTable" ref="A4:J108" headerRowCount="1" totalsRowCount="0">
  <x:autoFilter ref="A4:J108"/>
  <x:tableColumns count="10">
    <x:tableColumn id="1" name="YAML key"/>
    <x:tableColumn id="2" name="name"/>
    <x:tableColumn id="3" name="reference product"/>
    <x:tableColumn id="4" name="primary_2020"/>
    <x:tableColumn id="5" name="primary_2050"/>
    <x:tableColumn id="6" name="secondary_2020"/>
    <x:tableColumn id="7" name="secondary_2050"/>
    <x:tableColumn id="8" name="total_2020"/>
    <x:tableColumn id="9" name="total_2050"/>
    <x:tableColumn id="10" name="valid_tot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1bb8de730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4" customWidth="1"/>
    <x:col min="2" max="2" width="42" customWidth="1"/>
    <x:col min="3" max="3" width="34" customWidth="1"/>
    <x:col min="4" max="5" width="14" customWidth="1"/>
    <x:col min="6" max="7" width="16" customWidth="1"/>
    <x:col min="8" max="10" width="12" customWidth="1"/>
  </x:cols>
  <x:sheetData>
    <x:row r="1" ht="22" customHeight="1">
      <x:c r="A1" s="10" t="s">
        <x:v>0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2.04999923706055" customHeight="1">
      <x:c r="A2" s="12" t="s">
        <x:v>1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8.050000190734863" customHeight="1"/>
    <x:row r="4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</x:row>
    <x:row r="5">
      <x:c r="A5" s="2" t="s">
        <x:v>12</x:v>
      </x:c>
      <x:c r="B5" s="2" t="s">
        <x:v>13</x:v>
      </x:c>
      <x:c r="C5" s="2" t="s">
        <x:v>12</x:v>
      </x:c>
      <x:c r="D5" s="3">
        <x:v>1</x:v>
      </x:c>
      <x:c r="E5" s="3">
        <x:v>1</x:v>
      </x:c>
      <x:c r="F5" s="3">
        <x:v>0</x:v>
      </x:c>
      <x:c r="G5" s="3">
        <x:v>0</x:v>
      </x:c>
      <x:c r="H5" s="4" t="n">
        <x:f t="shared" ref="H5:H36" si="0">D5+F5</x:f>
        <x:v>1</x:v>
      </x:c>
      <x:c r="I5" s="4" t="n">
        <x:f>E5+G5</x:f>
        <x:v>1</x:v>
      </x:c>
      <x:c r="J5" s="5" t="str">
        <x:f t="shared" ref="J5:J36" si="1">IF(AND(ROUND(H5,9)=1,ROUND(I5,9)=1),"OK","CHECK")</x:f>
        <x:v>OK</x:v>
      </x:c>
    </x:row>
    <x:row r="6">
      <x:c r="A6" s="2" t="s">
        <x:v>14</x:v>
      </x:c>
      <x:c r="B6" s="2" t="s">
        <x:v>15</x:v>
      </x:c>
      <x:c r="C6" s="2" t="s">
        <x:v>14</x:v>
      </x:c>
      <x:c r="D6" s="3">
        <x:v>1</x:v>
      </x:c>
      <x:c r="E6" s="3">
        <x:v>1</x:v>
      </x:c>
      <x:c r="F6" s="3">
        <x:v>0</x:v>
      </x:c>
      <x:c r="G6" s="3">
        <x:v>0</x:v>
      </x:c>
      <x:c r="H6" s="4">
        <x:f t="shared" si="0"/>
        <x:v>1</x:v>
      </x:c>
      <x:c r="I6" s="4" t="n">
        <x:f t="shared" ref="I6:I36" si="2">E6+G6</x:f>
        <x:v>1</x:v>
      </x:c>
      <x:c r="J6" s="5" t="str">
        <x:f t="shared" si="1"/>
        <x:v>OK</x:v>
      </x:c>
    </x:row>
    <x:row r="7">
      <x:c r="A7" s="2" t="s">
        <x:v>16</x:v>
      </x:c>
      <x:c r="B7" s="2" t="s">
        <x:v>17</x:v>
      </x:c>
      <x:c r="C7" s="2" t="s">
        <x:v>16</x:v>
      </x:c>
      <x:c r="D7" s="3">
        <x:v>1</x:v>
      </x:c>
      <x:c r="E7" s="3">
        <x:v>1</x:v>
      </x:c>
      <x:c r="F7" s="3">
        <x:v>0</x:v>
      </x:c>
      <x:c r="G7" s="3">
        <x:v>0</x:v>
      </x:c>
      <x:c r="H7" s="4">
        <x:f t="shared" si="0"/>
        <x:v>1</x:v>
      </x:c>
      <x:c r="I7" s="4">
        <x:f t="shared" si="2"/>
        <x:v>1</x:v>
      </x:c>
      <x:c r="J7" s="5" t="str">
        <x:f t="shared" si="1"/>
        <x:v>OK</x:v>
      </x:c>
    </x:row>
    <x:row r="8">
      <x:c r="A8" s="2" t="s">
        <x:v>18</x:v>
      </x:c>
      <x:c r="B8" s="2" t="s">
        <x:v>19</x:v>
      </x:c>
      <x:c r="C8" s="2" t="s">
        <x:v>18</x:v>
      </x:c>
      <x:c r="D8" s="3">
        <x:v>1</x:v>
      </x:c>
      <x:c r="E8" s="3">
        <x:v>1</x:v>
      </x:c>
      <x:c r="F8" s="3">
        <x:v>0</x:v>
      </x:c>
      <x:c r="G8" s="3">
        <x:v>0</x:v>
      </x:c>
      <x:c r="H8" s="4">
        <x:f t="shared" si="0"/>
        <x:v>1</x:v>
      </x:c>
      <x:c r="I8" s="4">
        <x:f t="shared" si="2"/>
        <x:v>1</x:v>
      </x:c>
      <x:c r="J8" s="5" t="str">
        <x:f t="shared" si="1"/>
        <x:v>OK</x:v>
      </x:c>
    </x:row>
    <x:row r="9">
      <x:c r="A9" s="2" t="s">
        <x:v>20</x:v>
      </x:c>
      <x:c r="B9" s="2" t="s">
        <x:v>21</x:v>
      </x:c>
      <x:c r="C9" s="2" t="s">
        <x:v>20</x:v>
      </x:c>
      <x:c r="D9" s="3">
        <x:v>1</x:v>
      </x:c>
      <x:c r="E9" s="3">
        <x:v>1</x:v>
      </x:c>
      <x:c r="F9" s="3">
        <x:v>0</x:v>
      </x:c>
      <x:c r="G9" s="3">
        <x:v>0</x:v>
      </x:c>
      <x:c r="H9" s="4">
        <x:f t="shared" si="0"/>
        <x:v>1</x:v>
      </x:c>
      <x:c r="I9" s="4">
        <x:f t="shared" si="2"/>
        <x:v>1</x:v>
      </x:c>
      <x:c r="J9" s="5" t="str">
        <x:f t="shared" si="1"/>
        <x:v>OK</x:v>
      </x:c>
    </x:row>
    <x:row r="10">
      <x:c r="A10" s="2" t="s">
        <x:v>22</x:v>
      </x:c>
      <x:c r="B10" s="2" t="s">
        <x:v>23</x:v>
      </x:c>
      <x:c r="C10" s="2" t="s">
        <x:v>22</x:v>
      </x:c>
      <x:c r="D10" s="3">
        <x:v>1</x:v>
      </x:c>
      <x:c r="E10" s="3">
        <x:v>1</x:v>
      </x:c>
      <x:c r="F10" s="3">
        <x:v>0</x:v>
      </x:c>
      <x:c r="G10" s="3">
        <x:v>0</x:v>
      </x:c>
      <x:c r="H10" s="4">
        <x:f t="shared" si="0"/>
        <x:v>1</x:v>
      </x:c>
      <x:c r="I10" s="4">
        <x:f t="shared" si="2"/>
        <x:v>1</x:v>
      </x:c>
      <x:c r="J10" s="5" t="str">
        <x:f t="shared" si="1"/>
        <x:v>OK</x:v>
      </x:c>
    </x:row>
    <x:row r="11">
      <x:c r="A11" s="2" t="s">
        <x:v>24</x:v>
      </x:c>
      <x:c r="B11" s="2" t="s">
        <x:v>25</x:v>
      </x:c>
      <x:c r="C11" s="2" t="s">
        <x:v>24</x:v>
      </x:c>
      <x:c r="D11" s="3">
        <x:v>1</x:v>
      </x:c>
      <x:c r="E11" s="3">
        <x:v>1</x:v>
      </x:c>
      <x:c r="F11" s="3">
        <x:v>0</x:v>
      </x:c>
      <x:c r="G11" s="3">
        <x:v>0</x:v>
      </x:c>
      <x:c r="H11" s="4">
        <x:f t="shared" si="0"/>
        <x:v>1</x:v>
      </x:c>
      <x:c r="I11" s="4">
        <x:f t="shared" si="2"/>
        <x:v>1</x:v>
      </x:c>
      <x:c r="J11" s="5" t="str">
        <x:f t="shared" si="1"/>
        <x:v>OK</x:v>
      </x:c>
    </x:row>
    <x:row r="12">
      <x:c r="A12" s="2" t="s">
        <x:v>26</x:v>
      </x:c>
      <x:c r="B12" s="2" t="s">
        <x:v>27</x:v>
      </x:c>
      <x:c r="C12" s="2" t="s">
        <x:v>26</x:v>
      </x:c>
      <x:c r="D12" s="3">
        <x:v>0.311755</x:v>
      </x:c>
      <x:c r="E12" s="3">
        <x:v>0.311755</x:v>
      </x:c>
      <x:c r="F12" s="3">
        <x:v>0.688245</x:v>
      </x:c>
      <x:c r="G12" s="3">
        <x:v>0.688245</x:v>
      </x:c>
      <x:c r="H12" s="4">
        <x:f t="shared" si="0"/>
        <x:v>1</x:v>
      </x:c>
      <x:c r="I12" s="4">
        <x:f t="shared" si="2"/>
        <x:v>1</x:v>
      </x:c>
      <x:c r="J12" s="5" t="str">
        <x:f t="shared" si="1"/>
        <x:v>OK</x:v>
      </x:c>
    </x:row>
    <x:row r="13">
      <x:c r="A13" s="2" t="s">
        <x:v>28</x:v>
      </x:c>
      <x:c r="B13" s="2" t="s">
        <x:v>29</x:v>
      </x:c>
      <x:c r="C13" s="2" t="s">
        <x:v>28</x:v>
      </x:c>
      <x:c r="D13" s="3">
        <x:v>1</x:v>
      </x:c>
      <x:c r="E13" s="3">
        <x:v>1</x:v>
      </x:c>
      <x:c r="F13" s="3">
        <x:v>0</x:v>
      </x:c>
      <x:c r="G13" s="3">
        <x:v>0</x:v>
      </x:c>
      <x:c r="H13" s="4">
        <x:f t="shared" si="0"/>
        <x:v>1</x:v>
      </x:c>
      <x:c r="I13" s="4">
        <x:f t="shared" si="2"/>
        <x:v>1</x:v>
      </x:c>
      <x:c r="J13" s="5" t="str">
        <x:f t="shared" si="1"/>
        <x:v>OK</x:v>
      </x:c>
    </x:row>
    <x:row r="14">
      <x:c r="A14" s="2" t="s">
        <x:v>30</x:v>
      </x:c>
      <x:c r="B14" s="2" t="s">
        <x:v>31</x:v>
      </x:c>
      <x:c r="C14" s="2" t="s">
        <x:v>30</x:v>
      </x:c>
      <x:c r="D14" s="3">
        <x:v>1</x:v>
      </x:c>
      <x:c r="E14" s="3">
        <x:v>1</x:v>
      </x:c>
      <x:c r="F14" s="3">
        <x:v>0</x:v>
      </x:c>
      <x:c r="G14" s="3">
        <x:v>0</x:v>
      </x:c>
      <x:c r="H14" s="4">
        <x:f t="shared" si="0"/>
        <x:v>1</x:v>
      </x:c>
      <x:c r="I14" s="4">
        <x:f t="shared" si="2"/>
        <x:v>1</x:v>
      </x:c>
      <x:c r="J14" s="5" t="str">
        <x:f t="shared" si="1"/>
        <x:v>OK</x:v>
      </x:c>
    </x:row>
    <x:row r="15">
      <x:c r="A15" s="2" t="s">
        <x:v>32</x:v>
      </x:c>
      <x:c r="B15" s="2" t="s">
        <x:v>33</x:v>
      </x:c>
      <x:c r="C15" s="2" t="s">
        <x:v>32</x:v>
      </x:c>
      <x:c r="D15" s="3">
        <x:v>1</x:v>
      </x:c>
      <x:c r="E15" s="3">
        <x:v>1</x:v>
      </x:c>
      <x:c r="F15" s="3">
        <x:v>0</x:v>
      </x:c>
      <x:c r="G15" s="3">
        <x:v>0</x:v>
      </x:c>
      <x:c r="H15" s="4">
        <x:f t="shared" si="0"/>
        <x:v>1</x:v>
      </x:c>
      <x:c r="I15" s="4">
        <x:f t="shared" si="2"/>
        <x:v>1</x:v>
      </x:c>
      <x:c r="J15" s="5" t="str">
        <x:f t="shared" si="1"/>
        <x:v>OK</x:v>
      </x:c>
    </x:row>
    <x:row r="16">
      <x:c r="A16" s="2" t="s">
        <x:v>34</x:v>
      </x:c>
      <x:c r="B16" s="2" t="s">
        <x:v>35</x:v>
      </x:c>
      <x:c r="C16" s="2" t="s">
        <x:v>34</x:v>
      </x:c>
      <x:c r="D16" s="3">
        <x:v>1</x:v>
      </x:c>
      <x:c r="E16" s="3">
        <x:v>1</x:v>
      </x:c>
      <x:c r="F16" s="3">
        <x:v>0</x:v>
      </x:c>
      <x:c r="G16" s="3">
        <x:v>0</x:v>
      </x:c>
      <x:c r="H16" s="4">
        <x:f t="shared" si="0"/>
        <x:v>1</x:v>
      </x:c>
      <x:c r="I16" s="4">
        <x:f t="shared" si="2"/>
        <x:v>1</x:v>
      </x:c>
      <x:c r="J16" s="5" t="str">
        <x:f t="shared" si="1"/>
        <x:v>OK</x:v>
      </x:c>
    </x:row>
    <x:row r="17">
      <x:c r="A17" s="2" t="s">
        <x:v>36</x:v>
      </x:c>
      <x:c r="B17" s="2" t="s">
        <x:v>37</x:v>
      </x:c>
      <x:c r="C17" s="2" t="s">
        <x:v>36</x:v>
      </x:c>
      <x:c r="D17" s="3">
        <x:v>1</x:v>
      </x:c>
      <x:c r="E17" s="3">
        <x:v>1</x:v>
      </x:c>
      <x:c r="F17" s="3">
        <x:v>0</x:v>
      </x:c>
      <x:c r="G17" s="3">
        <x:v>0</x:v>
      </x:c>
      <x:c r="H17" s="4">
        <x:f t="shared" si="0"/>
        <x:v>1</x:v>
      </x:c>
      <x:c r="I17" s="4">
        <x:f t="shared" si="2"/>
        <x:v>1</x:v>
      </x:c>
      <x:c r="J17" s="5" t="str">
        <x:f t="shared" si="1"/>
        <x:v>OK</x:v>
      </x:c>
    </x:row>
    <x:row r="18">
      <x:c r="A18" s="2" t="s">
        <x:v>38</x:v>
      </x:c>
      <x:c r="B18" s="2" t="s">
        <x:v>39</x:v>
      </x:c>
      <x:c r="C18" s="2" t="s">
        <x:v>38</x:v>
      </x:c>
      <x:c r="D18" s="3">
        <x:v>1</x:v>
      </x:c>
      <x:c r="E18" s="3">
        <x:v>1</x:v>
      </x:c>
      <x:c r="F18" s="3">
        <x:v>0</x:v>
      </x:c>
      <x:c r="G18" s="3">
        <x:v>0</x:v>
      </x:c>
      <x:c r="H18" s="4">
        <x:f t="shared" si="0"/>
        <x:v>1</x:v>
      </x:c>
      <x:c r="I18" s="4">
        <x:f t="shared" si="2"/>
        <x:v>1</x:v>
      </x:c>
      <x:c r="J18" s="5" t="str">
        <x:f t="shared" si="1"/>
        <x:v>OK</x:v>
      </x:c>
    </x:row>
    <x:row r="19">
      <x:c r="A19" s="2" t="s">
        <x:v>40</x:v>
      </x:c>
      <x:c r="B19" s="2" t="s">
        <x:v>41</x:v>
      </x:c>
      <x:c r="C19" s="2" t="s">
        <x:v>40</x:v>
      </x:c>
      <x:c r="D19" s="3">
        <x:v>1</x:v>
      </x:c>
      <x:c r="E19" s="3">
        <x:v>1</x:v>
      </x:c>
      <x:c r="F19" s="3">
        <x:v>0</x:v>
      </x:c>
      <x:c r="G19" s="3">
        <x:v>0</x:v>
      </x:c>
      <x:c r="H19" s="4">
        <x:f t="shared" si="0"/>
        <x:v>1</x:v>
      </x:c>
      <x:c r="I19" s="4">
        <x:f t="shared" si="2"/>
        <x:v>1</x:v>
      </x:c>
      <x:c r="J19" s="5" t="str">
        <x:f t="shared" si="1"/>
        <x:v>OK</x:v>
      </x:c>
    </x:row>
    <x:row r="20">
      <x:c r="A20" s="2" t="s">
        <x:v>42</x:v>
      </x:c>
      <x:c r="B20" s="2" t="s">
        <x:v>43</x:v>
      </x:c>
      <x:c r="C20" s="2" t="s">
        <x:v>42</x:v>
      </x:c>
      <x:c r="D20" s="3">
        <x:v>1</x:v>
      </x:c>
      <x:c r="E20" s="3">
        <x:v>1</x:v>
      </x:c>
      <x:c r="F20" s="3">
        <x:v>0</x:v>
      </x:c>
      <x:c r="G20" s="3">
        <x:v>0</x:v>
      </x:c>
      <x:c r="H20" s="4">
        <x:f t="shared" si="0"/>
        <x:v>1</x:v>
      </x:c>
      <x:c r="I20" s="4">
        <x:f t="shared" si="2"/>
        <x:v>1</x:v>
      </x:c>
      <x:c r="J20" s="5" t="str">
        <x:f t="shared" si="1"/>
        <x:v>OK</x:v>
      </x:c>
    </x:row>
    <x:row r="21">
      <x:c r="A21" s="2" t="s">
        <x:v>44</x:v>
      </x:c>
      <x:c r="B21" s="2" t="s">
        <x:v>45</x:v>
      </x:c>
      <x:c r="C21" s="2" t="s">
        <x:v>44</x:v>
      </x:c>
      <x:c r="D21" s="3">
        <x:v>1</x:v>
      </x:c>
      <x:c r="E21" s="3">
        <x:v>1</x:v>
      </x:c>
      <x:c r="F21" s="3">
        <x:v>0</x:v>
      </x:c>
      <x:c r="G21" s="3">
        <x:v>0</x:v>
      </x:c>
      <x:c r="H21" s="4">
        <x:f t="shared" si="0"/>
        <x:v>1</x:v>
      </x:c>
      <x:c r="I21" s="4">
        <x:f t="shared" si="2"/>
        <x:v>1</x:v>
      </x:c>
      <x:c r="J21" s="5" t="str">
        <x:f t="shared" si="1"/>
        <x:v>OK</x:v>
      </x:c>
    </x:row>
    <x:row r="22">
      <x:c r="A22" s="2" t="s">
        <x:v>46</x:v>
      </x:c>
      <x:c r="B22" s="2" t="s">
        <x:v>47</x:v>
      </x:c>
      <x:c r="C22" s="2" t="s">
        <x:v>46</x:v>
      </x:c>
      <x:c r="D22" s="3">
        <x:v>1</x:v>
      </x:c>
      <x:c r="E22" s="3">
        <x:v>1</x:v>
      </x:c>
      <x:c r="F22" s="3">
        <x:v>0</x:v>
      </x:c>
      <x:c r="G22" s="3">
        <x:v>0</x:v>
      </x:c>
      <x:c r="H22" s="4">
        <x:f t="shared" si="0"/>
        <x:v>1</x:v>
      </x:c>
      <x:c r="I22" s="4">
        <x:f t="shared" si="2"/>
        <x:v>1</x:v>
      </x:c>
      <x:c r="J22" s="5" t="str">
        <x:f t="shared" si="1"/>
        <x:v>OK</x:v>
      </x:c>
    </x:row>
    <x:row r="23">
      <x:c r="A23" s="2" t="s">
        <x:v>48</x:v>
      </x:c>
      <x:c r="B23" s="2" t="s">
        <x:v>49</x:v>
      </x:c>
      <x:c r="C23" s="2" t="s">
        <x:v>48</x:v>
      </x:c>
      <x:c r="D23" s="3">
        <x:v>1</x:v>
      </x:c>
      <x:c r="E23" s="3">
        <x:v>1</x:v>
      </x:c>
      <x:c r="F23" s="3">
        <x:v>0</x:v>
      </x:c>
      <x:c r="G23" s="3">
        <x:v>0</x:v>
      </x:c>
      <x:c r="H23" s="4">
        <x:f t="shared" si="0"/>
        <x:v>1</x:v>
      </x:c>
      <x:c r="I23" s="4">
        <x:f t="shared" si="2"/>
        <x:v>1</x:v>
      </x:c>
      <x:c r="J23" s="5" t="str">
        <x:f t="shared" si="1"/>
        <x:v>OK</x:v>
      </x:c>
    </x:row>
    <x:row r="24">
      <x:c r="A24" s="2" t="s">
        <x:v>50</x:v>
      </x:c>
      <x:c r="B24" s="2" t="s">
        <x:v>51</x:v>
      </x:c>
      <x:c r="C24" s="2" t="s">
        <x:v>50</x:v>
      </x:c>
      <x:c r="D24" s="3">
        <x:v>1</x:v>
      </x:c>
      <x:c r="E24" s="3">
        <x:v>1</x:v>
      </x:c>
      <x:c r="F24" s="3">
        <x:v>0</x:v>
      </x:c>
      <x:c r="G24" s="3">
        <x:v>0</x:v>
      </x:c>
      <x:c r="H24" s="4">
        <x:f t="shared" si="0"/>
        <x:v>1</x:v>
      </x:c>
      <x:c r="I24" s="4">
        <x:f t="shared" si="2"/>
        <x:v>1</x:v>
      </x:c>
      <x:c r="J24" s="5" t="str">
        <x:f t="shared" si="1"/>
        <x:v>OK</x:v>
      </x:c>
    </x:row>
    <x:row r="25">
      <x:c r="A25" s="2" t="s">
        <x:v>52</x:v>
      </x:c>
      <x:c r="B25" s="2" t="s">
        <x:v>53</x:v>
      </x:c>
      <x:c r="C25" s="2" t="s">
        <x:v>52</x:v>
      </x:c>
      <x:c r="D25" s="3">
        <x:v>1</x:v>
      </x:c>
      <x:c r="E25" s="3">
        <x:v>1</x:v>
      </x:c>
      <x:c r="F25" s="3">
        <x:v>0</x:v>
      </x:c>
      <x:c r="G25" s="3">
        <x:v>0</x:v>
      </x:c>
      <x:c r="H25" s="4">
        <x:f t="shared" si="0"/>
        <x:v>1</x:v>
      </x:c>
      <x:c r="I25" s="4">
        <x:f t="shared" si="2"/>
        <x:v>1</x:v>
      </x:c>
      <x:c r="J25" s="5" t="str">
        <x:f t="shared" si="1"/>
        <x:v>OK</x:v>
      </x:c>
    </x:row>
    <x:row r="26">
      <x:c r="A26" s="2" t="s">
        <x:v>54</x:v>
      </x:c>
      <x:c r="B26" s="2" t="s">
        <x:v>55</x:v>
      </x:c>
      <x:c r="C26" s="2" t="s">
        <x:v>54</x:v>
      </x:c>
      <x:c r="D26" s="3">
        <x:v>1</x:v>
      </x:c>
      <x:c r="E26" s="3">
        <x:v>1</x:v>
      </x:c>
      <x:c r="F26" s="3">
        <x:v>0</x:v>
      </x:c>
      <x:c r="G26" s="3">
        <x:v>0</x:v>
      </x:c>
      <x:c r="H26" s="4">
        <x:f t="shared" si="0"/>
        <x:v>1</x:v>
      </x:c>
      <x:c r="I26" s="4">
        <x:f t="shared" si="2"/>
        <x:v>1</x:v>
      </x:c>
      <x:c r="J26" s="5" t="str">
        <x:f t="shared" si="1"/>
        <x:v>OK</x:v>
      </x:c>
    </x:row>
    <x:row r="27">
      <x:c r="A27" s="2" t="s">
        <x:v>56</x:v>
      </x:c>
      <x:c r="B27" s="2" t="s">
        <x:v>57</x:v>
      </x:c>
      <x:c r="C27" s="2" t="s">
        <x:v>56</x:v>
      </x:c>
      <x:c r="D27" s="3">
        <x:v>1</x:v>
      </x:c>
      <x:c r="E27" s="3">
        <x:v>1</x:v>
      </x:c>
      <x:c r="F27" s="3">
        <x:v>0</x:v>
      </x:c>
      <x:c r="G27" s="3">
        <x:v>0</x:v>
      </x:c>
      <x:c r="H27" s="4">
        <x:f t="shared" si="0"/>
        <x:v>1</x:v>
      </x:c>
      <x:c r="I27" s="4">
        <x:f t="shared" si="2"/>
        <x:v>1</x:v>
      </x:c>
      <x:c r="J27" s="5" t="str">
        <x:f t="shared" si="1"/>
        <x:v>OK</x:v>
      </x:c>
    </x:row>
    <x:row r="28">
      <x:c r="A28" s="2" t="s">
        <x:v>58</x:v>
      </x:c>
      <x:c r="B28" s="2" t="s">
        <x:v>59</x:v>
      </x:c>
      <x:c r="C28" s="2" t="s">
        <x:v>58</x:v>
      </x:c>
      <x:c r="D28" s="3">
        <x:v>0.99428374200000003</x:v>
      </x:c>
      <x:c r="E28" s="3">
        <x:v>0.99428374200000003</x:v>
      </x:c>
      <x:c r="F28" s="3">
        <x:v>5.7162580000000001E-3</x:v>
      </x:c>
      <x:c r="G28" s="3">
        <x:v>5.7162580000000001E-3</x:v>
      </x:c>
      <x:c r="H28" s="4">
        <x:f t="shared" si="0"/>
        <x:v>1</x:v>
      </x:c>
      <x:c r="I28" s="4">
        <x:f t="shared" si="2"/>
        <x:v>1</x:v>
      </x:c>
      <x:c r="J28" s="5" t="str">
        <x:f t="shared" si="1"/>
        <x:v>OK</x:v>
      </x:c>
    </x:row>
    <x:row r="29">
      <x:c r="A29" s="2" t="s">
        <x:v>60</x:v>
      </x:c>
      <x:c r="B29" s="2" t="s">
        <x:v>61</x:v>
      </x:c>
      <x:c r="C29" s="2" t="s">
        <x:v>60</x:v>
      </x:c>
      <x:c r="D29" s="3">
        <x:v>1</x:v>
      </x:c>
      <x:c r="E29" s="3">
        <x:v>1</x:v>
      </x:c>
      <x:c r="F29" s="3">
        <x:v>0</x:v>
      </x:c>
      <x:c r="G29" s="3">
        <x:v>0</x:v>
      </x:c>
      <x:c r="H29" s="4">
        <x:f t="shared" si="0"/>
        <x:v>1</x:v>
      </x:c>
      <x:c r="I29" s="4">
        <x:f t="shared" si="2"/>
        <x:v>1</x:v>
      </x:c>
      <x:c r="J29" s="5" t="str">
        <x:f t="shared" si="1"/>
        <x:v>OK</x:v>
      </x:c>
    </x:row>
    <x:row r="30">
      <x:c r="A30" s="2" t="s">
        <x:v>62</x:v>
      </x:c>
      <x:c r="B30" s="2" t="s">
        <x:v>63</x:v>
      </x:c>
      <x:c r="C30" s="2" t="s">
        <x:v>62</x:v>
      </x:c>
      <x:c r="D30" s="3">
        <x:v>1</x:v>
      </x:c>
      <x:c r="E30" s="3">
        <x:v>1</x:v>
      </x:c>
      <x:c r="F30" s="3">
        <x:v>0</x:v>
      </x:c>
      <x:c r="G30" s="3">
        <x:v>0</x:v>
      </x:c>
      <x:c r="H30" s="4">
        <x:f t="shared" si="0"/>
        <x:v>1</x:v>
      </x:c>
      <x:c r="I30" s="4">
        <x:f t="shared" si="2"/>
        <x:v>1</x:v>
      </x:c>
      <x:c r="J30" s="5" t="str">
        <x:f t="shared" si="1"/>
        <x:v>OK</x:v>
      </x:c>
    </x:row>
    <x:row r="31">
      <x:c r="A31" s="2" t="s">
        <x:v>64</x:v>
      </x:c>
      <x:c r="B31" s="2" t="s">
        <x:v>65</x:v>
      </x:c>
      <x:c r="C31" s="2" t="s">
        <x:v>64</x:v>
      </x:c>
      <x:c r="D31" s="3">
        <x:v>0.8</x:v>
      </x:c>
      <x:c r="E31" s="3">
        <x:v>0.8</x:v>
      </x:c>
      <x:c r="F31" s="3">
        <x:v>0.2</x:v>
      </x:c>
      <x:c r="G31" s="3">
        <x:v>0.2</x:v>
      </x:c>
      <x:c r="H31" s="4">
        <x:f t="shared" si="0"/>
        <x:v>1</x:v>
      </x:c>
      <x:c r="I31" s="4">
        <x:f t="shared" si="2"/>
        <x:v>1</x:v>
      </x:c>
      <x:c r="J31" s="5" t="str">
        <x:f t="shared" si="1"/>
        <x:v>OK</x:v>
      </x:c>
    </x:row>
    <x:row r="32">
      <x:c r="A32" s="2" t="s">
        <x:v>66</x:v>
      </x:c>
      <x:c r="B32" s="2" t="s">
        <x:v>67</x:v>
      </x:c>
      <x:c r="C32" s="2" t="s">
        <x:v>66</x:v>
      </x:c>
      <x:c r="D32" s="3">
        <x:v>1</x:v>
      </x:c>
      <x:c r="E32" s="3">
        <x:v>1</x:v>
      </x:c>
      <x:c r="F32" s="3">
        <x:v>0</x:v>
      </x:c>
      <x:c r="G32" s="3">
        <x:v>0</x:v>
      </x:c>
      <x:c r="H32" s="4">
        <x:f t="shared" si="0"/>
        <x:v>1</x:v>
      </x:c>
      <x:c r="I32" s="4">
        <x:f t="shared" si="2"/>
        <x:v>1</x:v>
      </x:c>
      <x:c r="J32" s="5" t="str">
        <x:f t="shared" si="1"/>
        <x:v>OK</x:v>
      </x:c>
    </x:row>
    <x:row r="33">
      <x:c r="A33" s="2" t="s">
        <x:v>68</x:v>
      </x:c>
      <x:c r="B33" s="2" t="s">
        <x:v>69</x:v>
      </x:c>
      <x:c r="C33" s="2" t="s">
        <x:v>68</x:v>
      </x:c>
      <x:c r="D33" s="3">
        <x:v>1</x:v>
      </x:c>
      <x:c r="E33" s="3">
        <x:v>1</x:v>
      </x:c>
      <x:c r="F33" s="3">
        <x:v>0</x:v>
      </x:c>
      <x:c r="G33" s="3">
        <x:v>0</x:v>
      </x:c>
      <x:c r="H33" s="4">
        <x:f t="shared" si="0"/>
        <x:v>1</x:v>
      </x:c>
      <x:c r="I33" s="4">
        <x:f t="shared" si="2"/>
        <x:v>1</x:v>
      </x:c>
      <x:c r="J33" s="5" t="str">
        <x:f t="shared" si="1"/>
        <x:v>OK</x:v>
      </x:c>
    </x:row>
    <x:row r="34">
      <x:c r="A34" s="2" t="s">
        <x:v>70</x:v>
      </x:c>
      <x:c r="B34" s="2" t="s">
        <x:v>71</x:v>
      </x:c>
      <x:c r="C34" s="2" t="s">
        <x:v>70</x:v>
      </x:c>
      <x:c r="D34" s="3">
        <x:v>0.995573343</x:v>
      </x:c>
      <x:c r="E34" s="3">
        <x:v>0.995573343</x:v>
      </x:c>
      <x:c r="F34" s="3">
        <x:v>4.4266569999999996E-3</x:v>
      </x:c>
      <x:c r="G34" s="3">
        <x:v>4.4266569999999996E-3</x:v>
      </x:c>
      <x:c r="H34" s="4">
        <x:f t="shared" si="0"/>
        <x:v>1</x:v>
      </x:c>
      <x:c r="I34" s="4">
        <x:f t="shared" si="2"/>
        <x:v>1</x:v>
      </x:c>
      <x:c r="J34" s="5" t="str">
        <x:f t="shared" si="1"/>
        <x:v>OK</x:v>
      </x:c>
    </x:row>
    <x:row r="35">
      <x:c r="A35" s="2" t="s">
        <x:v>72</x:v>
      </x:c>
      <x:c r="B35" s="2" t="s">
        <x:v>73</x:v>
      </x:c>
      <x:c r="C35" s="2" t="s">
        <x:v>72</x:v>
      </x:c>
      <x:c r="D35" s="3">
        <x:v>1</x:v>
      </x:c>
      <x:c r="E35" s="3">
        <x:v>1</x:v>
      </x:c>
      <x:c r="F35" s="3">
        <x:v>0</x:v>
      </x:c>
      <x:c r="G35" s="3">
        <x:v>0</x:v>
      </x:c>
      <x:c r="H35" s="4">
        <x:f t="shared" si="0"/>
        <x:v>1</x:v>
      </x:c>
      <x:c r="I35" s="4">
        <x:f t="shared" si="2"/>
        <x:v>1</x:v>
      </x:c>
      <x:c r="J35" s="5" t="str">
        <x:f t="shared" si="1"/>
        <x:v>OK</x:v>
      </x:c>
    </x:row>
    <x:row r="36">
      <x:c r="A36" s="2" t="s">
        <x:v>74</x:v>
      </x:c>
      <x:c r="B36" s="2" t="s">
        <x:v>75</x:v>
      </x:c>
      <x:c r="C36" s="2" t="s">
        <x:v>74</x:v>
      </x:c>
      <x:c r="D36" s="3">
        <x:v>1</x:v>
      </x:c>
      <x:c r="E36" s="3">
        <x:v>1</x:v>
      </x:c>
      <x:c r="F36" s="3">
        <x:v>0</x:v>
      </x:c>
      <x:c r="G36" s="3">
        <x:v>0</x:v>
      </x:c>
      <x:c r="H36" s="4">
        <x:f t="shared" si="0"/>
        <x:v>1</x:v>
      </x:c>
      <x:c r="I36" s="4">
        <x:f t="shared" si="2"/>
        <x:v>1</x:v>
      </x:c>
      <x:c r="J36" s="5" t="str">
        <x:f t="shared" si="1"/>
        <x:v>OK</x:v>
      </x:c>
    </x:row>
    <x:row r="37">
      <x:c r="A37" s="2" t="s">
        <x:v>76</x:v>
      </x:c>
      <x:c r="B37" s="2" t="s">
        <x:v>77</x:v>
      </x:c>
      <x:c r="C37" s="2" t="s">
        <x:v>76</x:v>
      </x:c>
      <x:c r="D37" s="3">
        <x:v>1</x:v>
      </x:c>
      <x:c r="E37" s="3">
        <x:v>1</x:v>
      </x:c>
      <x:c r="F37" s="3">
        <x:v>0</x:v>
      </x:c>
      <x:c r="G37" s="3">
        <x:v>0</x:v>
      </x:c>
      <x:c r="H37" s="4" t="n">
        <x:f t="shared" ref="H37:H68" si="3">D37+F37</x:f>
        <x:v>1</x:v>
      </x:c>
      <x:c r="I37" s="4" t="n">
        <x:f t="shared" ref="I37:I68" si="4">E37+G37</x:f>
        <x:v>1</x:v>
      </x:c>
      <x:c r="J37" s="5" t="str">
        <x:f t="shared" ref="J37:J68" si="5">IF(AND(ROUND(H37,9)=1,ROUND(I37,9)=1),"OK","CHECK")</x:f>
        <x:v>OK</x:v>
      </x:c>
    </x:row>
    <x:row r="38">
      <x:c r="A38" s="2" t="s">
        <x:v>78</x:v>
      </x:c>
      <x:c r="B38" s="2" t="s">
        <x:v>79</x:v>
      </x:c>
      <x:c r="C38" s="2" t="s">
        <x:v>78</x:v>
      </x:c>
      <x:c r="D38" s="3">
        <x:v>1</x:v>
      </x:c>
      <x:c r="E38" s="3">
        <x:v>1</x:v>
      </x:c>
      <x:c r="F38" s="3">
        <x:v>0</x:v>
      </x:c>
      <x:c r="G38" s="3">
        <x:v>0</x:v>
      </x:c>
      <x:c r="H38" s="4">
        <x:f t="shared" si="3"/>
        <x:v>1</x:v>
      </x:c>
      <x:c r="I38" s="4">
        <x:f t="shared" si="4"/>
        <x:v>1</x:v>
      </x:c>
      <x:c r="J38" s="5" t="str">
        <x:f t="shared" si="5"/>
        <x:v>OK</x:v>
      </x:c>
    </x:row>
    <x:row r="39">
      <x:c r="A39" s="2" t="s">
        <x:v>80</x:v>
      </x:c>
      <x:c r="B39" s="2" t="s">
        <x:v>81</x:v>
      </x:c>
      <x:c r="C39" s="2" t="s">
        <x:v>80</x:v>
      </x:c>
      <x:c r="D39" s="3">
        <x:v>1</x:v>
      </x:c>
      <x:c r="E39" s="3">
        <x:v>1</x:v>
      </x:c>
      <x:c r="F39" s="3">
        <x:v>0</x:v>
      </x:c>
      <x:c r="G39" s="3">
        <x:v>0</x:v>
      </x:c>
      <x:c r="H39" s="4">
        <x:f t="shared" si="3"/>
        <x:v>1</x:v>
      </x:c>
      <x:c r="I39" s="4">
        <x:f t="shared" si="4"/>
        <x:v>1</x:v>
      </x:c>
      <x:c r="J39" s="5" t="str">
        <x:f t="shared" si="5"/>
        <x:v>OK</x:v>
      </x:c>
    </x:row>
    <x:row r="40">
      <x:c r="A40" s="2" t="s">
        <x:v>82</x:v>
      </x:c>
      <x:c r="B40" s="2" t="s">
        <x:v>83</x:v>
      </x:c>
      <x:c r="C40" s="2" t="s">
        <x:v>82</x:v>
      </x:c>
      <x:c r="D40" s="3">
        <x:v>1</x:v>
      </x:c>
      <x:c r="E40" s="3">
        <x:v>1</x:v>
      </x:c>
      <x:c r="F40" s="3">
        <x:v>0</x:v>
      </x:c>
      <x:c r="G40" s="3">
        <x:v>0</x:v>
      </x:c>
      <x:c r="H40" s="4">
        <x:f t="shared" si="3"/>
        <x:v>1</x:v>
      </x:c>
      <x:c r="I40" s="4">
        <x:f t="shared" si="4"/>
        <x:v>1</x:v>
      </x:c>
      <x:c r="J40" s="5" t="str">
        <x:f t="shared" si="5"/>
        <x:v>OK</x:v>
      </x:c>
    </x:row>
    <x:row r="41">
      <x:c r="A41" s="2" t="s">
        <x:v>84</x:v>
      </x:c>
      <x:c r="B41" s="2" t="s">
        <x:v>85</x:v>
      </x:c>
      <x:c r="C41" s="2" t="s">
        <x:v>84</x:v>
      </x:c>
      <x:c r="D41" s="3">
        <x:v>1</x:v>
      </x:c>
      <x:c r="E41" s="3">
        <x:v>1</x:v>
      </x:c>
      <x:c r="F41" s="3">
        <x:v>0</x:v>
      </x:c>
      <x:c r="G41" s="3">
        <x:v>0</x:v>
      </x:c>
      <x:c r="H41" s="4">
        <x:f t="shared" si="3"/>
        <x:v>1</x:v>
      </x:c>
      <x:c r="I41" s="4">
        <x:f t="shared" si="4"/>
        <x:v>1</x:v>
      </x:c>
      <x:c r="J41" s="5" t="str">
        <x:f t="shared" si="5"/>
        <x:v>OK</x:v>
      </x:c>
    </x:row>
    <x:row r="42">
      <x:c r="A42" s="2" t="s">
        <x:v>86</x:v>
      </x:c>
      <x:c r="B42" s="2" t="s">
        <x:v>87</x:v>
      </x:c>
      <x:c r="C42" s="2" t="s">
        <x:v>86</x:v>
      </x:c>
      <x:c r="D42" s="3">
        <x:v>1</x:v>
      </x:c>
      <x:c r="E42" s="3">
        <x:v>1</x:v>
      </x:c>
      <x:c r="F42" s="3">
        <x:v>0</x:v>
      </x:c>
      <x:c r="G42" s="3">
        <x:v>0</x:v>
      </x:c>
      <x:c r="H42" s="4">
        <x:f t="shared" si="3"/>
        <x:v>1</x:v>
      </x:c>
      <x:c r="I42" s="4">
        <x:f t="shared" si="4"/>
        <x:v>1</x:v>
      </x:c>
      <x:c r="J42" s="5" t="str">
        <x:f t="shared" si="5"/>
        <x:v>OK</x:v>
      </x:c>
    </x:row>
    <x:row r="43">
      <x:c r="A43" s="2" t="s">
        <x:v>88</x:v>
      </x:c>
      <x:c r="B43" s="2" t="s">
        <x:v>89</x:v>
      </x:c>
      <x:c r="C43" s="2" t="s">
        <x:v>88</x:v>
      </x:c>
      <x:c r="D43" s="3">
        <x:v>1</x:v>
      </x:c>
      <x:c r="E43" s="3">
        <x:v>1</x:v>
      </x:c>
      <x:c r="F43" s="3">
        <x:v>0</x:v>
      </x:c>
      <x:c r="G43" s="3">
        <x:v>0</x:v>
      </x:c>
      <x:c r="H43" s="4">
        <x:f t="shared" si="3"/>
        <x:v>1</x:v>
      </x:c>
      <x:c r="I43" s="4">
        <x:f t="shared" si="4"/>
        <x:v>1</x:v>
      </x:c>
      <x:c r="J43" s="5" t="str">
        <x:f t="shared" si="5"/>
        <x:v>OK</x:v>
      </x:c>
    </x:row>
    <x:row r="44">
      <x:c r="A44" s="2" t="s">
        <x:v>90</x:v>
      </x:c>
      <x:c r="B44" s="2" t="s">
        <x:v>91</x:v>
      </x:c>
      <x:c r="C44" s="2" t="s">
        <x:v>90</x:v>
      </x:c>
      <x:c r="D44" s="3">
        <x:v>0.45083796599999998</x:v>
      </x:c>
      <x:c r="E44" s="3">
        <x:v>0.45083796599999998</x:v>
      </x:c>
      <x:c r="F44" s="3">
        <x:v>0.54916203399999997</x:v>
      </x:c>
      <x:c r="G44" s="3">
        <x:v>0.54916203399999997</x:v>
      </x:c>
      <x:c r="H44" s="4">
        <x:f t="shared" si="3"/>
        <x:v>1</x:v>
      </x:c>
      <x:c r="I44" s="4">
        <x:f t="shared" si="4"/>
        <x:v>1</x:v>
      </x:c>
      <x:c r="J44" s="5" t="str">
        <x:f t="shared" si="5"/>
        <x:v>OK</x:v>
      </x:c>
    </x:row>
    <x:row r="45">
      <x:c r="A45" s="2" t="s">
        <x:v>92</x:v>
      </x:c>
      <x:c r="B45" s="2" t="s">
        <x:v>93</x:v>
      </x:c>
      <x:c r="C45" s="2" t="s">
        <x:v>92</x:v>
      </x:c>
      <x:c r="D45" s="3">
        <x:v>1</x:v>
      </x:c>
      <x:c r="E45" s="3">
        <x:v>1</x:v>
      </x:c>
      <x:c r="F45" s="3">
        <x:v>0</x:v>
      </x:c>
      <x:c r="G45" s="3">
        <x:v>0</x:v>
      </x:c>
      <x:c r="H45" s="4">
        <x:f t="shared" si="3"/>
        <x:v>1</x:v>
      </x:c>
      <x:c r="I45" s="4">
        <x:f t="shared" si="4"/>
        <x:v>1</x:v>
      </x:c>
      <x:c r="J45" s="5" t="str">
        <x:f t="shared" si="5"/>
        <x:v>OK</x:v>
      </x:c>
    </x:row>
    <x:row r="46">
      <x:c r="A46" s="2" t="s">
        <x:v>94</x:v>
      </x:c>
      <x:c r="B46" s="2" t="s">
        <x:v>95</x:v>
      </x:c>
      <x:c r="C46" s="2" t="s">
        <x:v>94</x:v>
      </x:c>
      <x:c r="D46" s="3">
        <x:v>0.99915958500000002</x:v>
      </x:c>
      <x:c r="E46" s="3">
        <x:v>0.99915958500000002</x:v>
      </x:c>
      <x:c r="F46" s="3">
        <x:v>8.4041460453823896E-4</x:v>
      </x:c>
      <x:c r="G46" s="3">
        <x:v>8.4041460453823896E-4</x:v>
      </x:c>
      <x:c r="H46" s="4">
        <x:f t="shared" si="3"/>
        <x:v>0.99999999960453823</x:v>
      </x:c>
      <x:c r="I46" s="4">
        <x:f t="shared" si="4"/>
        <x:v>0.99999999960453823</x:v>
      </x:c>
      <x:c r="J46" s="5" t="str">
        <x:f t="shared" si="5"/>
        <x:v>OK</x:v>
      </x:c>
    </x:row>
    <x:row r="47">
      <x:c r="A47" s="2" t="s">
        <x:v>96</x:v>
      </x:c>
      <x:c r="B47" s="2" t="s">
        <x:v>97</x:v>
      </x:c>
      <x:c r="C47" s="2" t="s">
        <x:v>96</x:v>
      </x:c>
      <x:c r="D47" s="3">
        <x:v>1</x:v>
      </x:c>
      <x:c r="E47" s="3">
        <x:v>1</x:v>
      </x:c>
      <x:c r="F47" s="3">
        <x:v>0</x:v>
      </x:c>
      <x:c r="G47" s="3">
        <x:v>0</x:v>
      </x:c>
      <x:c r="H47" s="4">
        <x:f t="shared" si="3"/>
        <x:v>1</x:v>
      </x:c>
      <x:c r="I47" s="4">
        <x:f t="shared" si="4"/>
        <x:v>1</x:v>
      </x:c>
      <x:c r="J47" s="5" t="str">
        <x:f t="shared" si="5"/>
        <x:v>OK</x:v>
      </x:c>
    </x:row>
    <x:row r="48">
      <x:c r="A48" s="2" t="s">
        <x:v>98</x:v>
      </x:c>
      <x:c r="B48" s="2" t="s">
        <x:v>99</x:v>
      </x:c>
      <x:c r="C48" s="2" t="s">
        <x:v>98</x:v>
      </x:c>
      <x:c r="D48" s="3">
        <x:v>1</x:v>
      </x:c>
      <x:c r="E48" s="3">
        <x:v>1</x:v>
      </x:c>
      <x:c r="F48" s="3">
        <x:v>0</x:v>
      </x:c>
      <x:c r="G48" s="3">
        <x:v>0</x:v>
      </x:c>
      <x:c r="H48" s="4">
        <x:f t="shared" si="3"/>
        <x:v>1</x:v>
      </x:c>
      <x:c r="I48" s="4">
        <x:f t="shared" si="4"/>
        <x:v>1</x:v>
      </x:c>
      <x:c r="J48" s="5" t="str">
        <x:f t="shared" si="5"/>
        <x:v>OK</x:v>
      </x:c>
    </x:row>
    <x:row r="49">
      <x:c r="A49" s="2" t="s">
        <x:v>100</x:v>
      </x:c>
      <x:c r="B49" s="2" t="s">
        <x:v>101</x:v>
      </x:c>
      <x:c r="C49" s="2" t="s">
        <x:v>100</x:v>
      </x:c>
      <x:c r="D49" s="3">
        <x:v>1</x:v>
      </x:c>
      <x:c r="E49" s="3">
        <x:v>1</x:v>
      </x:c>
      <x:c r="F49" s="3">
        <x:v>0</x:v>
      </x:c>
      <x:c r="G49" s="3">
        <x:v>0</x:v>
      </x:c>
      <x:c r="H49" s="4">
        <x:f t="shared" si="3"/>
        <x:v>1</x:v>
      </x:c>
      <x:c r="I49" s="4">
        <x:f t="shared" si="4"/>
        <x:v>1</x:v>
      </x:c>
      <x:c r="J49" s="5" t="str">
        <x:f t="shared" si="5"/>
        <x:v>OK</x:v>
      </x:c>
    </x:row>
    <x:row r="50">
      <x:c r="A50" s="2" t="s">
        <x:v>102</x:v>
      </x:c>
      <x:c r="B50" s="2" t="s">
        <x:v>103</x:v>
      </x:c>
      <x:c r="C50" s="2" t="s">
        <x:v>102</x:v>
      </x:c>
      <x:c r="D50" s="3">
        <x:v>1</x:v>
      </x:c>
      <x:c r="E50" s="3">
        <x:v>1</x:v>
      </x:c>
      <x:c r="F50" s="3">
        <x:v>0</x:v>
      </x:c>
      <x:c r="G50" s="3">
        <x:v>0</x:v>
      </x:c>
      <x:c r="H50" s="4">
        <x:f t="shared" si="3"/>
        <x:v>1</x:v>
      </x:c>
      <x:c r="I50" s="4">
        <x:f t="shared" si="4"/>
        <x:v>1</x:v>
      </x:c>
      <x:c r="J50" s="5" t="str">
        <x:f t="shared" si="5"/>
        <x:v>OK</x:v>
      </x:c>
    </x:row>
    <x:row r="51">
      <x:c r="A51" s="2" t="s">
        <x:v>104</x:v>
      </x:c>
      <x:c r="B51" s="2" t="s">
        <x:v>105</x:v>
      </x:c>
      <x:c r="C51" s="2" t="s">
        <x:v>104</x:v>
      </x:c>
      <x:c r="D51" s="3">
        <x:v>0.99999751999999997</x:v>
      </x:c>
      <x:c r="E51" s="3">
        <x:v>0.99999751999999997</x:v>
      </x:c>
      <x:c r="F51" s="3">
        <x:v>2.48E-6</x:v>
      </x:c>
      <x:c r="G51" s="3">
        <x:v>2.48E-6</x:v>
      </x:c>
      <x:c r="H51" s="4">
        <x:f t="shared" si="3"/>
        <x:v>1</x:v>
      </x:c>
      <x:c r="I51" s="4">
        <x:f t="shared" si="4"/>
        <x:v>1</x:v>
      </x:c>
      <x:c r="J51" s="5" t="str">
        <x:f t="shared" si="5"/>
        <x:v>OK</x:v>
      </x:c>
    </x:row>
    <x:row r="52">
      <x:c r="A52" s="2" t="s">
        <x:v>106</x:v>
      </x:c>
      <x:c r="B52" s="2" t="s">
        <x:v>107</x:v>
      </x:c>
      <x:c r="C52" s="2" t="s">
        <x:v>106</x:v>
      </x:c>
      <x:c r="D52" s="3">
        <x:v>1</x:v>
      </x:c>
      <x:c r="E52" s="3">
        <x:v>1</x:v>
      </x:c>
      <x:c r="F52" s="3">
        <x:v>0</x:v>
      </x:c>
      <x:c r="G52" s="3">
        <x:v>0</x:v>
      </x:c>
      <x:c r="H52" s="4">
        <x:f t="shared" si="3"/>
        <x:v>1</x:v>
      </x:c>
      <x:c r="I52" s="4">
        <x:f t="shared" si="4"/>
        <x:v>1</x:v>
      </x:c>
      <x:c r="J52" s="5" t="str">
        <x:f t="shared" si="5"/>
        <x:v>OK</x:v>
      </x:c>
    </x:row>
    <x:row r="53">
      <x:c r="A53" s="2" t="s">
        <x:v>108</x:v>
      </x:c>
      <x:c r="B53" s="2" t="s">
        <x:v>109</x:v>
      </x:c>
      <x:c r="C53" s="2" t="s">
        <x:v>108</x:v>
      </x:c>
      <x:c r="D53" s="3">
        <x:v>1</x:v>
      </x:c>
      <x:c r="E53" s="3">
        <x:v>1</x:v>
      </x:c>
      <x:c r="F53" s="3">
        <x:v>0</x:v>
      </x:c>
      <x:c r="G53" s="3">
        <x:v>0</x:v>
      </x:c>
      <x:c r="H53" s="4">
        <x:f t="shared" si="3"/>
        <x:v>1</x:v>
      </x:c>
      <x:c r="I53" s="4">
        <x:f t="shared" si="4"/>
        <x:v>1</x:v>
      </x:c>
      <x:c r="J53" s="5" t="str">
        <x:f t="shared" si="5"/>
        <x:v>OK</x:v>
      </x:c>
    </x:row>
    <x:row r="54">
      <x:c r="A54" s="2" t="s">
        <x:v>110</x:v>
      </x:c>
      <x:c r="B54" s="2" t="s">
        <x:v>111</x:v>
      </x:c>
      <x:c r="C54" s="2" t="s">
        <x:v>110</x:v>
      </x:c>
      <x:c r="D54" s="3">
        <x:v>1</x:v>
      </x:c>
      <x:c r="E54" s="3">
        <x:v>1</x:v>
      </x:c>
      <x:c r="F54" s="3">
        <x:v>0</x:v>
      </x:c>
      <x:c r="G54" s="3">
        <x:v>0</x:v>
      </x:c>
      <x:c r="H54" s="4">
        <x:f t="shared" si="3"/>
        <x:v>1</x:v>
      </x:c>
      <x:c r="I54" s="4">
        <x:f t="shared" si="4"/>
        <x:v>1</x:v>
      </x:c>
      <x:c r="J54" s="5" t="str">
        <x:f t="shared" si="5"/>
        <x:v>OK</x:v>
      </x:c>
    </x:row>
    <x:row r="55">
      <x:c r="A55" s="2" t="s">
        <x:v>112</x:v>
      </x:c>
      <x:c r="B55" s="2" t="s">
        <x:v>113</x:v>
      </x:c>
      <x:c r="C55" s="2" t="s">
        <x:v>112</x:v>
      </x:c>
      <x:c r="D55" s="3">
        <x:v>0.99797153500000002</x:v>
      </x:c>
      <x:c r="E55" s="3">
        <x:v>0.99797153500000002</x:v>
      </x:c>
      <x:c r="F55" s="3">
        <x:v>2.0284650000000001E-3</x:v>
      </x:c>
      <x:c r="G55" s="3">
        <x:v>2.0284650000000001E-3</x:v>
      </x:c>
      <x:c r="H55" s="4">
        <x:f t="shared" si="3"/>
        <x:v>1</x:v>
      </x:c>
      <x:c r="I55" s="4">
        <x:f t="shared" si="4"/>
        <x:v>1</x:v>
      </x:c>
      <x:c r="J55" s="5" t="str">
        <x:f t="shared" si="5"/>
        <x:v>OK</x:v>
      </x:c>
    </x:row>
    <x:row r="56">
      <x:c r="A56" s="2" t="s">
        <x:v>114</x:v>
      </x:c>
      <x:c r="B56" s="2" t="s">
        <x:v>115</x:v>
      </x:c>
      <x:c r="C56" s="2" t="s">
        <x:v>114</x:v>
      </x:c>
      <x:c r="D56" s="3">
        <x:v>1</x:v>
      </x:c>
      <x:c r="E56" s="3">
        <x:v>1</x:v>
      </x:c>
      <x:c r="F56" s="3">
        <x:v>0</x:v>
      </x:c>
      <x:c r="G56" s="3">
        <x:v>0</x:v>
      </x:c>
      <x:c r="H56" s="4">
        <x:f t="shared" si="3"/>
        <x:v>1</x:v>
      </x:c>
      <x:c r="I56" s="4">
        <x:f t="shared" si="4"/>
        <x:v>1</x:v>
      </x:c>
      <x:c r="J56" s="5" t="str">
        <x:f t="shared" si="5"/>
        <x:v>OK</x:v>
      </x:c>
    </x:row>
    <x:row r="57">
      <x:c r="A57" s="2" t="s">
        <x:v>116</x:v>
      </x:c>
      <x:c r="B57" s="2" t="s">
        <x:v>117</x:v>
      </x:c>
      <x:c r="C57" s="2" t="s">
        <x:v>116</x:v>
      </x:c>
      <x:c r="D57" s="3">
        <x:v>1</x:v>
      </x:c>
      <x:c r="E57" s="3">
        <x:v>1</x:v>
      </x:c>
      <x:c r="F57" s="3">
        <x:v>0</x:v>
      </x:c>
      <x:c r="G57" s="3">
        <x:v>0</x:v>
      </x:c>
      <x:c r="H57" s="4">
        <x:f t="shared" si="3"/>
        <x:v>1</x:v>
      </x:c>
      <x:c r="I57" s="4">
        <x:f t="shared" si="4"/>
        <x:v>1</x:v>
      </x:c>
      <x:c r="J57" s="5" t="str">
        <x:f t="shared" si="5"/>
        <x:v>OK</x:v>
      </x:c>
    </x:row>
    <x:row r="58">
      <x:c r="A58" s="2" t="s">
        <x:v>118</x:v>
      </x:c>
      <x:c r="B58" s="2" t="s">
        <x:v>119</x:v>
      </x:c>
      <x:c r="C58" s="2" t="s">
        <x:v>118</x:v>
      </x:c>
      <x:c r="D58" s="3">
        <x:v>1</x:v>
      </x:c>
      <x:c r="E58" s="3">
        <x:v>1</x:v>
      </x:c>
      <x:c r="F58" s="3">
        <x:v>0</x:v>
      </x:c>
      <x:c r="G58" s="3">
        <x:v>0</x:v>
      </x:c>
      <x:c r="H58" s="4">
        <x:f t="shared" si="3"/>
        <x:v>1</x:v>
      </x:c>
      <x:c r="I58" s="4">
        <x:f t="shared" si="4"/>
        <x:v>1</x:v>
      </x:c>
      <x:c r="J58" s="5" t="str">
        <x:f t="shared" si="5"/>
        <x:v>OK</x:v>
      </x:c>
    </x:row>
    <x:row r="59">
      <x:c r="A59" s="2" t="s">
        <x:v>120</x:v>
      </x:c>
      <x:c r="B59" s="2" t="s">
        <x:v>121</x:v>
      </x:c>
      <x:c r="C59" s="2" t="s">
        <x:v>120</x:v>
      </x:c>
      <x:c r="D59" s="3">
        <x:v>0.84451447599999996</x:v>
      </x:c>
      <x:c r="E59" s="3">
        <x:v>0.84451447599999996</x:v>
      </x:c>
      <x:c r="F59" s="3">
        <x:v>0.15548552400000001</x:v>
      </x:c>
      <x:c r="G59" s="3">
        <x:v>0.15548552400000001</x:v>
      </x:c>
      <x:c r="H59" s="4">
        <x:f t="shared" si="3"/>
        <x:v>1</x:v>
      </x:c>
      <x:c r="I59" s="4">
        <x:f t="shared" si="4"/>
        <x:v>1</x:v>
      </x:c>
      <x:c r="J59" s="5" t="str">
        <x:f t="shared" si="5"/>
        <x:v>OK</x:v>
      </x:c>
    </x:row>
    <x:row r="60">
      <x:c r="A60" s="2" t="s">
        <x:v>122</x:v>
      </x:c>
      <x:c r="B60" s="2" t="s">
        <x:v>123</x:v>
      </x:c>
      <x:c r="C60" s="2" t="s">
        <x:v>122</x:v>
      </x:c>
      <x:c r="D60" s="3">
        <x:v>0.95539961399999995</x:v>
      </x:c>
      <x:c r="E60" s="3">
        <x:v>0.95539961399999995</x:v>
      </x:c>
      <x:c r="F60" s="3">
        <x:v>4.4600385999999999E-2</x:v>
      </x:c>
      <x:c r="G60" s="3">
        <x:v>4.4600385999999999E-2</x:v>
      </x:c>
      <x:c r="H60" s="4">
        <x:f t="shared" si="3"/>
        <x:v>1</x:v>
      </x:c>
      <x:c r="I60" s="4">
        <x:f t="shared" si="4"/>
        <x:v>1</x:v>
      </x:c>
      <x:c r="J60" s="5" t="str">
        <x:f t="shared" si="5"/>
        <x:v>OK</x:v>
      </x:c>
    </x:row>
    <x:row r="61">
      <x:c r="A61" s="2" t="s">
        <x:v>124</x:v>
      </x:c>
      <x:c r="B61" s="2" t="s">
        <x:v>125</x:v>
      </x:c>
      <x:c r="C61" s="2" t="s">
        <x:v>124</x:v>
      </x:c>
      <x:c r="D61" s="3">
        <x:v>1</x:v>
      </x:c>
      <x:c r="E61" s="3">
        <x:v>1</x:v>
      </x:c>
      <x:c r="F61" s="3">
        <x:v>0</x:v>
      </x:c>
      <x:c r="G61" s="3">
        <x:v>0</x:v>
      </x:c>
      <x:c r="H61" s="4">
        <x:f t="shared" si="3"/>
        <x:v>1</x:v>
      </x:c>
      <x:c r="I61" s="4">
        <x:f t="shared" si="4"/>
        <x:v>1</x:v>
      </x:c>
      <x:c r="J61" s="5" t="str">
        <x:f t="shared" si="5"/>
        <x:v>OK</x:v>
      </x:c>
    </x:row>
    <x:row r="62">
      <x:c r="A62" s="2" t="s">
        <x:v>126</x:v>
      </x:c>
      <x:c r="B62" s="2" t="s">
        <x:v>127</x:v>
      </x:c>
      <x:c r="C62" s="2" t="s">
        <x:v>126</x:v>
      </x:c>
      <x:c r="D62" s="3">
        <x:v>1</x:v>
      </x:c>
      <x:c r="E62" s="3">
        <x:v>1</x:v>
      </x:c>
      <x:c r="F62" s="3">
        <x:v>0</x:v>
      </x:c>
      <x:c r="G62" s="3">
        <x:v>0</x:v>
      </x:c>
      <x:c r="H62" s="4">
        <x:f t="shared" si="3"/>
        <x:v>1</x:v>
      </x:c>
      <x:c r="I62" s="4">
        <x:f t="shared" si="4"/>
        <x:v>1</x:v>
      </x:c>
      <x:c r="J62" s="5" t="str">
        <x:f t="shared" si="5"/>
        <x:v>OK</x:v>
      </x:c>
    </x:row>
    <x:row r="63">
      <x:c r="A63" s="2" t="s">
        <x:v>128</x:v>
      </x:c>
      <x:c r="B63" s="2" t="s">
        <x:v>129</x:v>
      </x:c>
      <x:c r="C63" s="2" t="s">
        <x:v>128</x:v>
      </x:c>
      <x:c r="D63" s="3">
        <x:v>1</x:v>
      </x:c>
      <x:c r="E63" s="3">
        <x:v>1</x:v>
      </x:c>
      <x:c r="F63" s="3">
        <x:v>0</x:v>
      </x:c>
      <x:c r="G63" s="3">
        <x:v>0</x:v>
      </x:c>
      <x:c r="H63" s="4">
        <x:f t="shared" si="3"/>
        <x:v>1</x:v>
      </x:c>
      <x:c r="I63" s="4">
        <x:f t="shared" si="4"/>
        <x:v>1</x:v>
      </x:c>
      <x:c r="J63" s="5" t="str">
        <x:f t="shared" si="5"/>
        <x:v>OK</x:v>
      </x:c>
    </x:row>
    <x:row r="64">
      <x:c r="A64" s="2" t="s">
        <x:v>130</x:v>
      </x:c>
      <x:c r="B64" s="2" t="s">
        <x:v>131</x:v>
      </x:c>
      <x:c r="C64" s="2" t="s">
        <x:v>130</x:v>
      </x:c>
      <x:c r="D64" s="3">
        <x:v>1</x:v>
      </x:c>
      <x:c r="E64" s="3">
        <x:v>1</x:v>
      </x:c>
      <x:c r="F64" s="3">
        <x:v>0</x:v>
      </x:c>
      <x:c r="G64" s="3">
        <x:v>0</x:v>
      </x:c>
      <x:c r="H64" s="4">
        <x:f t="shared" si="3"/>
        <x:v>1</x:v>
      </x:c>
      <x:c r="I64" s="4">
        <x:f t="shared" si="4"/>
        <x:v>1</x:v>
      </x:c>
      <x:c r="J64" s="5" t="str">
        <x:f t="shared" si="5"/>
        <x:v>OK</x:v>
      </x:c>
    </x:row>
    <x:row r="65">
      <x:c r="A65" s="2" t="s">
        <x:v>132</x:v>
      </x:c>
      <x:c r="B65" s="2" t="s">
        <x:v>133</x:v>
      </x:c>
      <x:c r="C65" s="2" t="s">
        <x:v>132</x:v>
      </x:c>
      <x:c r="D65" s="3">
        <x:v>1</x:v>
      </x:c>
      <x:c r="E65" s="3">
        <x:v>1</x:v>
      </x:c>
      <x:c r="F65" s="3">
        <x:v>0</x:v>
      </x:c>
      <x:c r="G65" s="3">
        <x:v>0</x:v>
      </x:c>
      <x:c r="H65" s="4">
        <x:f t="shared" si="3"/>
        <x:v>1</x:v>
      </x:c>
      <x:c r="I65" s="4">
        <x:f t="shared" si="4"/>
        <x:v>1</x:v>
      </x:c>
      <x:c r="J65" s="5" t="str">
        <x:f t="shared" si="5"/>
        <x:v>OK</x:v>
      </x:c>
    </x:row>
    <x:row r="66">
      <x:c r="A66" s="2" t="s">
        <x:v>134</x:v>
      </x:c>
      <x:c r="B66" s="2" t="s">
        <x:v>135</x:v>
      </x:c>
      <x:c r="C66" s="2" t="s">
        <x:v>134</x:v>
      </x:c>
      <x:c r="D66" s="3">
        <x:v>1</x:v>
      </x:c>
      <x:c r="E66" s="3">
        <x:v>1</x:v>
      </x:c>
      <x:c r="F66" s="3">
        <x:v>0</x:v>
      </x:c>
      <x:c r="G66" s="3">
        <x:v>0</x:v>
      </x:c>
      <x:c r="H66" s="4">
        <x:f t="shared" si="3"/>
        <x:v>1</x:v>
      </x:c>
      <x:c r="I66" s="4">
        <x:f t="shared" si="4"/>
        <x:v>1</x:v>
      </x:c>
      <x:c r="J66" s="5" t="str">
        <x:f t="shared" si="5"/>
        <x:v>OK</x:v>
      </x:c>
    </x:row>
    <x:row r="67">
      <x:c r="A67" s="2" t="s">
        <x:v>136</x:v>
      </x:c>
      <x:c r="B67" s="2" t="s">
        <x:v>137</x:v>
      </x:c>
      <x:c r="C67" s="2" t="s">
        <x:v>136</x:v>
      </x:c>
      <x:c r="D67" s="3">
        <x:v>1</x:v>
      </x:c>
      <x:c r="E67" s="3">
        <x:v>1</x:v>
      </x:c>
      <x:c r="F67" s="3">
        <x:v>0</x:v>
      </x:c>
      <x:c r="G67" s="3">
        <x:v>0</x:v>
      </x:c>
      <x:c r="H67" s="4">
        <x:f t="shared" si="3"/>
        <x:v>1</x:v>
      </x:c>
      <x:c r="I67" s="4">
        <x:f t="shared" si="4"/>
        <x:v>1</x:v>
      </x:c>
      <x:c r="J67" s="5" t="str">
        <x:f t="shared" si="5"/>
        <x:v>OK</x:v>
      </x:c>
    </x:row>
    <x:row r="68">
      <x:c r="A68" s="2" t="s">
        <x:v>138</x:v>
      </x:c>
      <x:c r="B68" s="2" t="s">
        <x:v>139</x:v>
      </x:c>
      <x:c r="C68" s="2" t="s">
        <x:v>138</x:v>
      </x:c>
      <x:c r="D68" s="3">
        <x:v>1</x:v>
      </x:c>
      <x:c r="E68" s="3">
        <x:v>1</x:v>
      </x:c>
      <x:c r="F68" s="3">
        <x:v>0</x:v>
      </x:c>
      <x:c r="G68" s="3">
        <x:v>0</x:v>
      </x:c>
      <x:c r="H68" s="4">
        <x:f t="shared" si="3"/>
        <x:v>1</x:v>
      </x:c>
      <x:c r="I68" s="4">
        <x:f t="shared" si="4"/>
        <x:v>1</x:v>
      </x:c>
      <x:c r="J68" s="5" t="str">
        <x:f t="shared" si="5"/>
        <x:v>OK</x:v>
      </x:c>
    </x:row>
    <x:row r="69">
      <x:c r="A69" s="2" t="s">
        <x:v>140</x:v>
      </x:c>
      <x:c r="B69" s="2" t="s">
        <x:v>141</x:v>
      </x:c>
      <x:c r="C69" s="2" t="s">
        <x:v>140</x:v>
      </x:c>
      <x:c r="D69" s="3">
        <x:v>1</x:v>
      </x:c>
      <x:c r="E69" s="3">
        <x:v>1</x:v>
      </x:c>
      <x:c r="F69" s="3">
        <x:v>0</x:v>
      </x:c>
      <x:c r="G69" s="3">
        <x:v>0</x:v>
      </x:c>
      <x:c r="H69" s="4" t="n">
        <x:f t="shared" ref="H69:H100" si="6">D69+F69</x:f>
        <x:v>1</x:v>
      </x:c>
      <x:c r="I69" s="4" t="n">
        <x:f t="shared" ref="I69:I100" si="7">E69+G69</x:f>
        <x:v>1</x:v>
      </x:c>
      <x:c r="J69" s="5" t="str">
        <x:f t="shared" ref="J69:J100" si="8">IF(AND(ROUND(H69,9)=1,ROUND(I69,9)=1),"OK","CHECK")</x:f>
        <x:v>OK</x:v>
      </x:c>
    </x:row>
    <x:row r="70">
      <x:c r="A70" s="2" t="s">
        <x:v>142</x:v>
      </x:c>
      <x:c r="B70" s="2" t="s">
        <x:v>143</x:v>
      </x:c>
      <x:c r="C70" s="2" t="s">
        <x:v>142</x:v>
      </x:c>
      <x:c r="D70" s="3">
        <x:v>1</x:v>
      </x:c>
      <x:c r="E70" s="3">
        <x:v>1</x:v>
      </x:c>
      <x:c r="F70" s="3">
        <x:v>0</x:v>
      </x:c>
      <x:c r="G70" s="3">
        <x:v>0</x:v>
      </x:c>
      <x:c r="H70" s="4">
        <x:f t="shared" si="6"/>
        <x:v>1</x:v>
      </x:c>
      <x:c r="I70" s="4">
        <x:f t="shared" si="7"/>
        <x:v>1</x:v>
      </x:c>
      <x:c r="J70" s="5" t="str">
        <x:f t="shared" si="8"/>
        <x:v>OK</x:v>
      </x:c>
    </x:row>
    <x:row r="71">
      <x:c r="A71" s="2" t="s">
        <x:v>144</x:v>
      </x:c>
      <x:c r="B71" s="2" t="s">
        <x:v>145</x:v>
      </x:c>
      <x:c r="C71" s="2" t="s">
        <x:v>144</x:v>
      </x:c>
      <x:c r="D71" s="3">
        <x:v>1</x:v>
      </x:c>
      <x:c r="E71" s="3">
        <x:v>1</x:v>
      </x:c>
      <x:c r="F71" s="3">
        <x:v>0</x:v>
      </x:c>
      <x:c r="G71" s="3">
        <x:v>0</x:v>
      </x:c>
      <x:c r="H71" s="4">
        <x:f t="shared" si="6"/>
        <x:v>1</x:v>
      </x:c>
      <x:c r="I71" s="4">
        <x:f t="shared" si="7"/>
        <x:v>1</x:v>
      </x:c>
      <x:c r="J71" s="5" t="str">
        <x:f t="shared" si="8"/>
        <x:v>OK</x:v>
      </x:c>
    </x:row>
    <x:row r="72">
      <x:c r="A72" s="2" t="s">
        <x:v>146</x:v>
      </x:c>
      <x:c r="B72" s="2" t="s">
        <x:v>147</x:v>
      </x:c>
      <x:c r="C72" s="2" t="s">
        <x:v>146</x:v>
      </x:c>
      <x:c r="D72" s="3">
        <x:v>1</x:v>
      </x:c>
      <x:c r="E72" s="3">
        <x:v>1</x:v>
      </x:c>
      <x:c r="F72" s="3">
        <x:v>0</x:v>
      </x:c>
      <x:c r="G72" s="3">
        <x:v>0</x:v>
      </x:c>
      <x:c r="H72" s="4">
        <x:f t="shared" si="6"/>
        <x:v>1</x:v>
      </x:c>
      <x:c r="I72" s="4">
        <x:f t="shared" si="7"/>
        <x:v>1</x:v>
      </x:c>
      <x:c r="J72" s="5" t="str">
        <x:f t="shared" si="8"/>
        <x:v>OK</x:v>
      </x:c>
    </x:row>
    <x:row r="73">
      <x:c r="A73" s="2" t="s">
        <x:v>148</x:v>
      </x:c>
      <x:c r="B73" s="2" t="s">
        <x:v>149</x:v>
      </x:c>
      <x:c r="C73" s="2" t="s">
        <x:v>148</x:v>
      </x:c>
      <x:c r="D73" s="3">
        <x:v>1</x:v>
      </x:c>
      <x:c r="E73" s="3">
        <x:v>1</x:v>
      </x:c>
      <x:c r="F73" s="3">
        <x:v>0</x:v>
      </x:c>
      <x:c r="G73" s="3">
        <x:v>0</x:v>
      </x:c>
      <x:c r="H73" s="4">
        <x:f t="shared" si="6"/>
        <x:v>1</x:v>
      </x:c>
      <x:c r="I73" s="4">
        <x:f t="shared" si="7"/>
        <x:v>1</x:v>
      </x:c>
      <x:c r="J73" s="5" t="str">
        <x:f t="shared" si="8"/>
        <x:v>OK</x:v>
      </x:c>
    </x:row>
    <x:row r="74">
      <x:c r="A74" s="2" t="s">
        <x:v>150</x:v>
      </x:c>
      <x:c r="B74" s="2" t="s">
        <x:v>151</x:v>
      </x:c>
      <x:c r="C74" s="2" t="s">
        <x:v>150</x:v>
      </x:c>
      <x:c r="D74" s="3">
        <x:v>1</x:v>
      </x:c>
      <x:c r="E74" s="3">
        <x:v>1</x:v>
      </x:c>
      <x:c r="F74" s="3">
        <x:v>0</x:v>
      </x:c>
      <x:c r="G74" s="3">
        <x:v>0</x:v>
      </x:c>
      <x:c r="H74" s="4">
        <x:f t="shared" si="6"/>
        <x:v>1</x:v>
      </x:c>
      <x:c r="I74" s="4">
        <x:f t="shared" si="7"/>
        <x:v>1</x:v>
      </x:c>
      <x:c r="J74" s="5" t="str">
        <x:f t="shared" si="8"/>
        <x:v>OK</x:v>
      </x:c>
    </x:row>
    <x:row r="75">
      <x:c r="A75" s="2" t="s">
        <x:v>152</x:v>
      </x:c>
      <x:c r="B75" s="2" t="s">
        <x:v>153</x:v>
      </x:c>
      <x:c r="C75" s="2" t="s">
        <x:v>152</x:v>
      </x:c>
      <x:c r="D75" s="3">
        <x:v>1</x:v>
      </x:c>
      <x:c r="E75" s="3">
        <x:v>1</x:v>
      </x:c>
      <x:c r="F75" s="3">
        <x:v>0</x:v>
      </x:c>
      <x:c r="G75" s="3">
        <x:v>0</x:v>
      </x:c>
      <x:c r="H75" s="4">
        <x:f t="shared" si="6"/>
        <x:v>1</x:v>
      </x:c>
      <x:c r="I75" s="4">
        <x:f t="shared" si="7"/>
        <x:v>1</x:v>
      </x:c>
      <x:c r="J75" s="5" t="str">
        <x:f t="shared" si="8"/>
        <x:v>OK</x:v>
      </x:c>
    </x:row>
    <x:row r="76">
      <x:c r="A76" s="2" t="s">
        <x:v>154</x:v>
      </x:c>
      <x:c r="B76" s="2" t="s">
        <x:v>155</x:v>
      </x:c>
      <x:c r="C76" s="2" t="s">
        <x:v>154</x:v>
      </x:c>
      <x:c r="D76" s="3">
        <x:v>1</x:v>
      </x:c>
      <x:c r="E76" s="3">
        <x:v>1</x:v>
      </x:c>
      <x:c r="F76" s="3">
        <x:v>0</x:v>
      </x:c>
      <x:c r="G76" s="3">
        <x:v>0</x:v>
      </x:c>
      <x:c r="H76" s="4">
        <x:f t="shared" si="6"/>
        <x:v>1</x:v>
      </x:c>
      <x:c r="I76" s="4">
        <x:f t="shared" si="7"/>
        <x:v>1</x:v>
      </x:c>
      <x:c r="J76" s="5" t="str">
        <x:f t="shared" si="8"/>
        <x:v>OK</x:v>
      </x:c>
    </x:row>
    <x:row r="77">
      <x:c r="A77" s="2" t="s">
        <x:v>156</x:v>
      </x:c>
      <x:c r="B77" s="2" t="s">
        <x:v>157</x:v>
      </x:c>
      <x:c r="C77" s="2" t="s">
        <x:v>156</x:v>
      </x:c>
      <x:c r="D77" s="3">
        <x:v>1</x:v>
      </x:c>
      <x:c r="E77" s="3">
        <x:v>1</x:v>
      </x:c>
      <x:c r="F77" s="3">
        <x:v>0</x:v>
      </x:c>
      <x:c r="G77" s="3">
        <x:v>0</x:v>
      </x:c>
      <x:c r="H77" s="4">
        <x:f t="shared" si="6"/>
        <x:v>1</x:v>
      </x:c>
      <x:c r="I77" s="4">
        <x:f t="shared" si="7"/>
        <x:v>1</x:v>
      </x:c>
      <x:c r="J77" s="5" t="str">
        <x:f t="shared" si="8"/>
        <x:v>OK</x:v>
      </x:c>
    </x:row>
    <x:row r="78">
      <x:c r="A78" s="2" t="s">
        <x:v>158</x:v>
      </x:c>
      <x:c r="B78" s="2" t="s">
        <x:v>159</x:v>
      </x:c>
      <x:c r="C78" s="2" t="s">
        <x:v>158</x:v>
      </x:c>
      <x:c r="D78" s="3">
        <x:v>1</x:v>
      </x:c>
      <x:c r="E78" s="3">
        <x:v>1</x:v>
      </x:c>
      <x:c r="F78" s="3">
        <x:v>0</x:v>
      </x:c>
      <x:c r="G78" s="3">
        <x:v>0</x:v>
      </x:c>
      <x:c r="H78" s="4">
        <x:f t="shared" si="6"/>
        <x:v>1</x:v>
      </x:c>
      <x:c r="I78" s="4">
        <x:f t="shared" si="7"/>
        <x:v>1</x:v>
      </x:c>
      <x:c r="J78" s="5" t="str">
        <x:f t="shared" si="8"/>
        <x:v>OK</x:v>
      </x:c>
    </x:row>
    <x:row r="79">
      <x:c r="A79" s="2" t="s">
        <x:v>160</x:v>
      </x:c>
      <x:c r="B79" s="2" t="s">
        <x:v>161</x:v>
      </x:c>
      <x:c r="C79" s="2" t="s">
        <x:v>160</x:v>
      </x:c>
      <x:c r="D79" s="3">
        <x:v>1</x:v>
      </x:c>
      <x:c r="E79" s="3">
        <x:v>1</x:v>
      </x:c>
      <x:c r="F79" s="3">
        <x:v>0</x:v>
      </x:c>
      <x:c r="G79" s="3">
        <x:v>0</x:v>
      </x:c>
      <x:c r="H79" s="4">
        <x:f t="shared" si="6"/>
        <x:v>1</x:v>
      </x:c>
      <x:c r="I79" s="4">
        <x:f t="shared" si="7"/>
        <x:v>1</x:v>
      </x:c>
      <x:c r="J79" s="5" t="str">
        <x:f t="shared" si="8"/>
        <x:v>OK</x:v>
      </x:c>
    </x:row>
    <x:row r="80">
      <x:c r="A80" s="2" t="s">
        <x:v>162</x:v>
      </x:c>
      <x:c r="B80" s="2" t="s">
        <x:v>163</x:v>
      </x:c>
      <x:c r="C80" s="2" t="s">
        <x:v>162</x:v>
      </x:c>
      <x:c r="D80" s="3">
        <x:v>1</x:v>
      </x:c>
      <x:c r="E80" s="3">
        <x:v>1</x:v>
      </x:c>
      <x:c r="F80" s="3">
        <x:v>0</x:v>
      </x:c>
      <x:c r="G80" s="3">
        <x:v>0</x:v>
      </x:c>
      <x:c r="H80" s="4">
        <x:f t="shared" si="6"/>
        <x:v>1</x:v>
      </x:c>
      <x:c r="I80" s="4">
        <x:f t="shared" si="7"/>
        <x:v>1</x:v>
      </x:c>
      <x:c r="J80" s="5" t="str">
        <x:f t="shared" si="8"/>
        <x:v>OK</x:v>
      </x:c>
    </x:row>
    <x:row r="81">
      <x:c r="A81" s="2" t="s">
        <x:v>164</x:v>
      </x:c>
      <x:c r="B81" s="2" t="s">
        <x:v>165</x:v>
      </x:c>
      <x:c r="C81" s="2" t="s">
        <x:v>164</x:v>
      </x:c>
      <x:c r="D81" s="3">
        <x:v>1</x:v>
      </x:c>
      <x:c r="E81" s="3">
        <x:v>1</x:v>
      </x:c>
      <x:c r="F81" s="3">
        <x:v>0</x:v>
      </x:c>
      <x:c r="G81" s="3">
        <x:v>0</x:v>
      </x:c>
      <x:c r="H81" s="4">
        <x:f t="shared" si="6"/>
        <x:v>1</x:v>
      </x:c>
      <x:c r="I81" s="4">
        <x:f t="shared" si="7"/>
        <x:v>1</x:v>
      </x:c>
      <x:c r="J81" s="5" t="str">
        <x:f t="shared" si="8"/>
        <x:v>OK</x:v>
      </x:c>
    </x:row>
    <x:row r="82">
      <x:c r="A82" s="2" t="s">
        <x:v>166</x:v>
      </x:c>
      <x:c r="B82" s="2" t="s">
        <x:v>167</x:v>
      </x:c>
      <x:c r="C82" s="2" t="s">
        <x:v>166</x:v>
      </x:c>
      <x:c r="D82" s="3">
        <x:v>1</x:v>
      </x:c>
      <x:c r="E82" s="3">
        <x:v>1</x:v>
      </x:c>
      <x:c r="F82" s="3">
        <x:v>0</x:v>
      </x:c>
      <x:c r="G82" s="3">
        <x:v>0</x:v>
      </x:c>
      <x:c r="H82" s="4">
        <x:f t="shared" si="6"/>
        <x:v>1</x:v>
      </x:c>
      <x:c r="I82" s="4">
        <x:f t="shared" si="7"/>
        <x:v>1</x:v>
      </x:c>
      <x:c r="J82" s="5" t="str">
        <x:f t="shared" si="8"/>
        <x:v>OK</x:v>
      </x:c>
    </x:row>
    <x:row r="83">
      <x:c r="A83" s="2" t="s">
        <x:v>168</x:v>
      </x:c>
      <x:c r="B83" s="2" t="s">
        <x:v>169</x:v>
      </x:c>
      <x:c r="C83" s="2" t="s">
        <x:v>168</x:v>
      </x:c>
      <x:c r="D83" s="3">
        <x:v>1</x:v>
      </x:c>
      <x:c r="E83" s="3">
        <x:v>1</x:v>
      </x:c>
      <x:c r="F83" s="3">
        <x:v>0</x:v>
      </x:c>
      <x:c r="G83" s="3">
        <x:v>0</x:v>
      </x:c>
      <x:c r="H83" s="4">
        <x:f t="shared" si="6"/>
        <x:v>1</x:v>
      </x:c>
      <x:c r="I83" s="4">
        <x:f t="shared" si="7"/>
        <x:v>1</x:v>
      </x:c>
      <x:c r="J83" s="5" t="str">
        <x:f t="shared" si="8"/>
        <x:v>OK</x:v>
      </x:c>
    </x:row>
    <x:row r="84">
      <x:c r="A84" s="2" t="s">
        <x:v>170</x:v>
      </x:c>
      <x:c r="B84" s="2" t="s">
        <x:v>171</x:v>
      </x:c>
      <x:c r="C84" s="2" t="s">
        <x:v>170</x:v>
      </x:c>
      <x:c r="D84" s="3">
        <x:v>1</x:v>
      </x:c>
      <x:c r="E84" s="3">
        <x:v>1</x:v>
      </x:c>
      <x:c r="F84" s="3">
        <x:v>0</x:v>
      </x:c>
      <x:c r="G84" s="3">
        <x:v>0</x:v>
      </x:c>
      <x:c r="H84" s="4">
        <x:f t="shared" si="6"/>
        <x:v>1</x:v>
      </x:c>
      <x:c r="I84" s="4">
        <x:f t="shared" si="7"/>
        <x:v>1</x:v>
      </x:c>
      <x:c r="J84" s="5" t="str">
        <x:f t="shared" si="8"/>
        <x:v>OK</x:v>
      </x:c>
    </x:row>
    <x:row r="85">
      <x:c r="A85" s="2" t="s">
        <x:v>172</x:v>
      </x:c>
      <x:c r="B85" s="2" t="s">
        <x:v>173</x:v>
      </x:c>
      <x:c r="C85" s="2" t="s">
        <x:v>172</x:v>
      </x:c>
      <x:c r="D85" s="3">
        <x:v>1</x:v>
      </x:c>
      <x:c r="E85" s="3">
        <x:v>1</x:v>
      </x:c>
      <x:c r="F85" s="3">
        <x:v>0</x:v>
      </x:c>
      <x:c r="G85" s="3">
        <x:v>0</x:v>
      </x:c>
      <x:c r="H85" s="4">
        <x:f t="shared" si="6"/>
        <x:v>1</x:v>
      </x:c>
      <x:c r="I85" s="4">
        <x:f t="shared" si="7"/>
        <x:v>1</x:v>
      </x:c>
      <x:c r="J85" s="5" t="str">
        <x:f t="shared" si="8"/>
        <x:v>OK</x:v>
      </x:c>
    </x:row>
    <x:row r="86">
      <x:c r="A86" s="2" t="s">
        <x:v>174</x:v>
      </x:c>
      <x:c r="B86" s="2" t="s">
        <x:v>175</x:v>
      </x:c>
      <x:c r="C86" s="2" t="s">
        <x:v>174</x:v>
      </x:c>
      <x:c r="D86" s="3">
        <x:v>1</x:v>
      </x:c>
      <x:c r="E86" s="3">
        <x:v>1</x:v>
      </x:c>
      <x:c r="F86" s="3">
        <x:v>0</x:v>
      </x:c>
      <x:c r="G86" s="3">
        <x:v>0</x:v>
      </x:c>
      <x:c r="H86" s="4">
        <x:f t="shared" si="6"/>
        <x:v>1</x:v>
      </x:c>
      <x:c r="I86" s="4">
        <x:f t="shared" si="7"/>
        <x:v>1</x:v>
      </x:c>
      <x:c r="J86" s="5" t="str">
        <x:f t="shared" si="8"/>
        <x:v>OK</x:v>
      </x:c>
    </x:row>
    <x:row r="87">
      <x:c r="A87" s="2" t="s">
        <x:v>176</x:v>
      </x:c>
      <x:c r="B87" s="2" t="s">
        <x:v>177</x:v>
      </x:c>
      <x:c r="C87" s="2" t="s">
        <x:v>176</x:v>
      </x:c>
      <x:c r="D87" s="3">
        <x:v>0.91536347699999998</x:v>
      </x:c>
      <x:c r="E87" s="3">
        <x:v>0.91536347699999998</x:v>
      </x:c>
      <x:c r="F87" s="3">
        <x:v>8.4636523000000005E-2</x:v>
      </x:c>
      <x:c r="G87" s="3">
        <x:v>8.4636523000000005E-2</x:v>
      </x:c>
      <x:c r="H87" s="4">
        <x:f t="shared" si="6"/>
        <x:v>1</x:v>
      </x:c>
      <x:c r="I87" s="4">
        <x:f t="shared" si="7"/>
        <x:v>1</x:v>
      </x:c>
      <x:c r="J87" s="5" t="str">
        <x:f t="shared" si="8"/>
        <x:v>OK</x:v>
      </x:c>
    </x:row>
    <x:row r="88">
      <x:c r="A88" s="2" t="s">
        <x:v>178</x:v>
      </x:c>
      <x:c r="B88" s="2" t="s">
        <x:v>179</x:v>
      </x:c>
      <x:c r="C88" s="2" t="s">
        <x:v>178</x:v>
      </x:c>
      <x:c r="D88" s="3">
        <x:v>1</x:v>
      </x:c>
      <x:c r="E88" s="3">
        <x:v>1</x:v>
      </x:c>
      <x:c r="F88" s="3">
        <x:v>0</x:v>
      </x:c>
      <x:c r="G88" s="3">
        <x:v>0</x:v>
      </x:c>
      <x:c r="H88" s="4">
        <x:f t="shared" si="6"/>
        <x:v>1</x:v>
      </x:c>
      <x:c r="I88" s="4">
        <x:f t="shared" si="7"/>
        <x:v>1</x:v>
      </x:c>
      <x:c r="J88" s="5" t="str">
        <x:f t="shared" si="8"/>
        <x:v>OK</x:v>
      </x:c>
    </x:row>
    <x:row r="89">
      <x:c r="A89" s="2" t="s">
        <x:v>180</x:v>
      </x:c>
      <x:c r="B89" s="2" t="s">
        <x:v>181</x:v>
      </x:c>
      <x:c r="C89" s="2" t="s">
        <x:v>180</x:v>
      </x:c>
      <x:c r="D89" s="3">
        <x:v>1</x:v>
      </x:c>
      <x:c r="E89" s="3">
        <x:v>1</x:v>
      </x:c>
      <x:c r="F89" s="3">
        <x:v>0</x:v>
      </x:c>
      <x:c r="G89" s="3">
        <x:v>0</x:v>
      </x:c>
      <x:c r="H89" s="4">
        <x:f t="shared" si="6"/>
        <x:v>1</x:v>
      </x:c>
      <x:c r="I89" s="4">
        <x:f t="shared" si="7"/>
        <x:v>1</x:v>
      </x:c>
      <x:c r="J89" s="5" t="str">
        <x:f t="shared" si="8"/>
        <x:v>OK</x:v>
      </x:c>
    </x:row>
    <x:row r="90">
      <x:c r="A90" s="2" t="s">
        <x:v>182</x:v>
      </x:c>
      <x:c r="B90" s="2" t="s">
        <x:v>183</x:v>
      </x:c>
      <x:c r="C90" s="2" t="s">
        <x:v>182</x:v>
      </x:c>
      <x:c r="D90" s="3">
        <x:v>1</x:v>
      </x:c>
      <x:c r="E90" s="3">
        <x:v>1</x:v>
      </x:c>
      <x:c r="F90" s="3">
        <x:v>0</x:v>
      </x:c>
      <x:c r="G90" s="3">
        <x:v>0</x:v>
      </x:c>
      <x:c r="H90" s="4">
        <x:f t="shared" si="6"/>
        <x:v>1</x:v>
      </x:c>
      <x:c r="I90" s="4">
        <x:f t="shared" si="7"/>
        <x:v>1</x:v>
      </x:c>
      <x:c r="J90" s="5" t="str">
        <x:f t="shared" si="8"/>
        <x:v>OK</x:v>
      </x:c>
    </x:row>
    <x:row r="91">
      <x:c r="A91" s="2" t="s">
        <x:v>184</x:v>
      </x:c>
      <x:c r="B91" s="2" t="s">
        <x:v>185</x:v>
      </x:c>
      <x:c r="C91" s="2" t="s">
        <x:v>184</x:v>
      </x:c>
      <x:c r="D91" s="3">
        <x:v>1</x:v>
      </x:c>
      <x:c r="E91" s="3">
        <x:v>1</x:v>
      </x:c>
      <x:c r="F91" s="3">
        <x:v>0</x:v>
      </x:c>
      <x:c r="G91" s="3">
        <x:v>0</x:v>
      </x:c>
      <x:c r="H91" s="4">
        <x:f t="shared" si="6"/>
        <x:v>1</x:v>
      </x:c>
      <x:c r="I91" s="4">
        <x:f t="shared" si="7"/>
        <x:v>1</x:v>
      </x:c>
      <x:c r="J91" s="5" t="str">
        <x:f t="shared" si="8"/>
        <x:v>OK</x:v>
      </x:c>
    </x:row>
    <x:row r="92">
      <x:c r="A92" s="2" t="s">
        <x:v>186</x:v>
      </x:c>
      <x:c r="B92" s="2" t="s">
        <x:v>187</x:v>
      </x:c>
      <x:c r="C92" s="2" t="s">
        <x:v>186</x:v>
      </x:c>
      <x:c r="D92" s="3">
        <x:v>1</x:v>
      </x:c>
      <x:c r="E92" s="3">
        <x:v>1</x:v>
      </x:c>
      <x:c r="F92" s="3">
        <x:v>0</x:v>
      </x:c>
      <x:c r="G92" s="3">
        <x:v>0</x:v>
      </x:c>
      <x:c r="H92" s="4">
        <x:f t="shared" si="6"/>
        <x:v>1</x:v>
      </x:c>
      <x:c r="I92" s="4">
        <x:f t="shared" si="7"/>
        <x:v>1</x:v>
      </x:c>
      <x:c r="J92" s="5" t="str">
        <x:f t="shared" si="8"/>
        <x:v>OK</x:v>
      </x:c>
    </x:row>
    <x:row r="93">
      <x:c r="A93" s="2" t="s">
        <x:v>188</x:v>
      </x:c>
      <x:c r="B93" s="2" t="s">
        <x:v>189</x:v>
      </x:c>
      <x:c r="C93" s="2" t="s">
        <x:v>188</x:v>
      </x:c>
      <x:c r="D93" s="3">
        <x:v>1</x:v>
      </x:c>
      <x:c r="E93" s="3">
        <x:v>1</x:v>
      </x:c>
      <x:c r="F93" s="3">
        <x:v>0</x:v>
      </x:c>
      <x:c r="G93" s="3">
        <x:v>0</x:v>
      </x:c>
      <x:c r="H93" s="4">
        <x:f t="shared" si="6"/>
        <x:v>1</x:v>
      </x:c>
      <x:c r="I93" s="4">
        <x:f t="shared" si="7"/>
        <x:v>1</x:v>
      </x:c>
      <x:c r="J93" s="5" t="str">
        <x:f t="shared" si="8"/>
        <x:v>OK</x:v>
      </x:c>
    </x:row>
    <x:row r="94">
      <x:c r="A94" s="2" t="s">
        <x:v>190</x:v>
      </x:c>
      <x:c r="B94" s="2" t="s">
        <x:v>191</x:v>
      </x:c>
      <x:c r="C94" s="2" t="s">
        <x:v>190</x:v>
      </x:c>
      <x:c r="D94" s="3">
        <x:v>1</x:v>
      </x:c>
      <x:c r="E94" s="3">
        <x:v>1</x:v>
      </x:c>
      <x:c r="F94" s="3">
        <x:v>0</x:v>
      </x:c>
      <x:c r="G94" s="3">
        <x:v>0</x:v>
      </x:c>
      <x:c r="H94" s="4">
        <x:f t="shared" si="6"/>
        <x:v>1</x:v>
      </x:c>
      <x:c r="I94" s="4">
        <x:f t="shared" si="7"/>
        <x:v>1</x:v>
      </x:c>
      <x:c r="J94" s="5" t="str">
        <x:f t="shared" si="8"/>
        <x:v>OK</x:v>
      </x:c>
    </x:row>
    <x:row r="95">
      <x:c r="A95" s="2" t="s">
        <x:v>192</x:v>
      </x:c>
      <x:c r="B95" s="2" t="s">
        <x:v>193</x:v>
      </x:c>
      <x:c r="C95" s="2" t="s">
        <x:v>192</x:v>
      </x:c>
      <x:c r="D95" s="3">
        <x:v>1</x:v>
      </x:c>
      <x:c r="E95" s="3">
        <x:v>1</x:v>
      </x:c>
      <x:c r="F95" s="3">
        <x:v>0</x:v>
      </x:c>
      <x:c r="G95" s="3">
        <x:v>0</x:v>
      </x:c>
      <x:c r="H95" s="4">
        <x:f t="shared" si="6"/>
        <x:v>1</x:v>
      </x:c>
      <x:c r="I95" s="4">
        <x:f t="shared" si="7"/>
        <x:v>1</x:v>
      </x:c>
      <x:c r="J95" s="5" t="str">
        <x:f t="shared" si="8"/>
        <x:v>OK</x:v>
      </x:c>
    </x:row>
    <x:row r="96">
      <x:c r="A96" s="2" t="s">
        <x:v>194</x:v>
      </x:c>
      <x:c r="B96" s="2" t="s">
        <x:v>195</x:v>
      </x:c>
      <x:c r="C96" s="2" t="s">
        <x:v>194</x:v>
      </x:c>
      <x:c r="D96" s="3">
        <x:v>1</x:v>
      </x:c>
      <x:c r="E96" s="3">
        <x:v>1</x:v>
      </x:c>
      <x:c r="F96" s="3">
        <x:v>0</x:v>
      </x:c>
      <x:c r="G96" s="3">
        <x:v>0</x:v>
      </x:c>
      <x:c r="H96" s="4">
        <x:f t="shared" si="6"/>
        <x:v>1</x:v>
      </x:c>
      <x:c r="I96" s="4">
        <x:f t="shared" si="7"/>
        <x:v>1</x:v>
      </x:c>
      <x:c r="J96" s="5" t="str">
        <x:f t="shared" si="8"/>
        <x:v>OK</x:v>
      </x:c>
    </x:row>
    <x:row r="97">
      <x:c r="A97" s="2" t="s">
        <x:v>196</x:v>
      </x:c>
      <x:c r="B97" s="2" t="s">
        <x:v>197</x:v>
      </x:c>
      <x:c r="C97" s="2" t="s">
        <x:v>196</x:v>
      </x:c>
      <x:c r="D97" s="3">
        <x:v>1</x:v>
      </x:c>
      <x:c r="E97" s="3">
        <x:v>1</x:v>
      </x:c>
      <x:c r="F97" s="3">
        <x:v>0</x:v>
      </x:c>
      <x:c r="G97" s="3">
        <x:v>0</x:v>
      </x:c>
      <x:c r="H97" s="4">
        <x:f t="shared" si="6"/>
        <x:v>1</x:v>
      </x:c>
      <x:c r="I97" s="4">
        <x:f t="shared" si="7"/>
        <x:v>1</x:v>
      </x:c>
      <x:c r="J97" s="5" t="str">
        <x:f t="shared" si="8"/>
        <x:v>OK</x:v>
      </x:c>
    </x:row>
    <x:row r="98">
      <x:c r="A98" s="2" t="s">
        <x:v>198</x:v>
      </x:c>
      <x:c r="B98" s="2" t="s">
        <x:v>199</x:v>
      </x:c>
      <x:c r="C98" s="2" t="s">
        <x:v>198</x:v>
      </x:c>
      <x:c r="D98" s="3">
        <x:v>1</x:v>
      </x:c>
      <x:c r="E98" s="3">
        <x:v>1</x:v>
      </x:c>
      <x:c r="F98" s="3">
        <x:v>0</x:v>
      </x:c>
      <x:c r="G98" s="3">
        <x:v>0</x:v>
      </x:c>
      <x:c r="H98" s="4">
        <x:f t="shared" si="6"/>
        <x:v>1</x:v>
      </x:c>
      <x:c r="I98" s="4">
        <x:f t="shared" si="7"/>
        <x:v>1</x:v>
      </x:c>
      <x:c r="J98" s="5" t="str">
        <x:f t="shared" si="8"/>
        <x:v>OK</x:v>
      </x:c>
    </x:row>
    <x:row r="99">
      <x:c r="A99" s="2" t="s">
        <x:v>200</x:v>
      </x:c>
      <x:c r="B99" s="2" t="s">
        <x:v>201</x:v>
      </x:c>
      <x:c r="C99" s="2" t="s">
        <x:v>200</x:v>
      </x:c>
      <x:c r="D99" s="3">
        <x:v>1</x:v>
      </x:c>
      <x:c r="E99" s="3">
        <x:v>1</x:v>
      </x:c>
      <x:c r="F99" s="3">
        <x:v>0</x:v>
      </x:c>
      <x:c r="G99" s="3">
        <x:v>0</x:v>
      </x:c>
      <x:c r="H99" s="4">
        <x:f t="shared" si="6"/>
        <x:v>1</x:v>
      </x:c>
      <x:c r="I99" s="4">
        <x:f t="shared" si="7"/>
        <x:v>1</x:v>
      </x:c>
      <x:c r="J99" s="5" t="str">
        <x:f t="shared" si="8"/>
        <x:v>OK</x:v>
      </x:c>
    </x:row>
    <x:row r="100">
      <x:c r="A100" s="2" t="s">
        <x:v>202</x:v>
      </x:c>
      <x:c r="B100" s="2" t="s">
        <x:v>203</x:v>
      </x:c>
      <x:c r="C100" s="2" t="s">
        <x:v>202</x:v>
      </x:c>
      <x:c r="D100" s="3">
        <x:v>1</x:v>
      </x:c>
      <x:c r="E100" s="3">
        <x:v>1</x:v>
      </x:c>
      <x:c r="F100" s="3">
        <x:v>0</x:v>
      </x:c>
      <x:c r="G100" s="3">
        <x:v>0</x:v>
      </x:c>
      <x:c r="H100" s="4">
        <x:f t="shared" si="6"/>
        <x:v>1</x:v>
      </x:c>
      <x:c r="I100" s="4">
        <x:f t="shared" si="7"/>
        <x:v>1</x:v>
      </x:c>
      <x:c r="J100" s="5" t="str">
        <x:f t="shared" si="8"/>
        <x:v>OK</x:v>
      </x:c>
    </x:row>
    <x:row r="101">
      <x:c r="A101" s="2" t="s">
        <x:v>204</x:v>
      </x:c>
      <x:c r="B101" s="2" t="s">
        <x:v>205</x:v>
      </x:c>
      <x:c r="C101" s="2" t="s">
        <x:v>204</x:v>
      </x:c>
      <x:c r="D101" s="3">
        <x:v>1</x:v>
      </x:c>
      <x:c r="E101" s="3">
        <x:v>1</x:v>
      </x:c>
      <x:c r="F101" s="3">
        <x:v>0</x:v>
      </x:c>
      <x:c r="G101" s="3">
        <x:v>0</x:v>
      </x:c>
      <x:c r="H101" s="4" t="n">
        <x:f t="shared" ref="H101:H107" si="9">D101+F101</x:f>
        <x:v>1</x:v>
      </x:c>
      <x:c r="I101" s="4" t="n">
        <x:f t="shared" ref="I101:I107" si="10">E101+G101</x:f>
        <x:v>1</x:v>
      </x:c>
      <x:c r="J101" s="5" t="str">
        <x:f t="shared" ref="J101:J107" si="11">IF(AND(ROUND(H101,9)=1,ROUND(I101,9)=1),"OK","CHECK")</x:f>
        <x:v>OK</x:v>
      </x:c>
    </x:row>
    <x:row r="102">
      <x:c r="A102" s="2" t="s">
        <x:v>206</x:v>
      </x:c>
      <x:c r="B102" s="2" t="s">
        <x:v>207</x:v>
      </x:c>
      <x:c r="C102" s="2" t="s">
        <x:v>206</x:v>
      </x:c>
      <x:c r="D102" s="3">
        <x:v>1</x:v>
      </x:c>
      <x:c r="E102" s="3">
        <x:v>1</x:v>
      </x:c>
      <x:c r="F102" s="3">
        <x:v>0</x:v>
      </x:c>
      <x:c r="G102" s="3">
        <x:v>0</x:v>
      </x:c>
      <x:c r="H102" s="4">
        <x:f t="shared" si="9"/>
        <x:v>1</x:v>
      </x:c>
      <x:c r="I102" s="4">
        <x:f t="shared" si="10"/>
        <x:v>1</x:v>
      </x:c>
      <x:c r="J102" s="5" t="str">
        <x:f t="shared" si="11"/>
        <x:v>OK</x:v>
      </x:c>
    </x:row>
    <x:row r="103">
      <x:c r="A103" s="2" t="s">
        <x:v>208</x:v>
      </x:c>
      <x:c r="B103" s="2" t="s">
        <x:v>209</x:v>
      </x:c>
      <x:c r="C103" s="2" t="s">
        <x:v>208</x:v>
      </x:c>
      <x:c r="D103" s="3">
        <x:v>1</x:v>
      </x:c>
      <x:c r="E103" s="3">
        <x:v>1</x:v>
      </x:c>
      <x:c r="F103" s="3">
        <x:v>0</x:v>
      </x:c>
      <x:c r="G103" s="3">
        <x:v>0</x:v>
      </x:c>
      <x:c r="H103" s="4">
        <x:f t="shared" si="9"/>
        <x:v>1</x:v>
      </x:c>
      <x:c r="I103" s="4">
        <x:f t="shared" si="10"/>
        <x:v>1</x:v>
      </x:c>
      <x:c r="J103" s="5" t="str">
        <x:f t="shared" si="11"/>
        <x:v>OK</x:v>
      </x:c>
    </x:row>
    <x:row r="104">
      <x:c r="A104" s="2" t="s">
        <x:v>210</x:v>
      </x:c>
      <x:c r="B104" s="2" t="s">
        <x:v>211</x:v>
      </x:c>
      <x:c r="C104" s="2" t="s">
        <x:v>210</x:v>
      </x:c>
      <x:c r="D104" s="3">
        <x:v>1</x:v>
      </x:c>
      <x:c r="E104" s="3">
        <x:v>1</x:v>
      </x:c>
      <x:c r="F104" s="3">
        <x:v>0</x:v>
      </x:c>
      <x:c r="G104" s="3">
        <x:v>0</x:v>
      </x:c>
      <x:c r="H104" s="4">
        <x:f t="shared" si="9"/>
        <x:v>1</x:v>
      </x:c>
      <x:c r="I104" s="4">
        <x:f t="shared" si="10"/>
        <x:v>1</x:v>
      </x:c>
      <x:c r="J104" s="5" t="str">
        <x:f t="shared" si="11"/>
        <x:v>OK</x:v>
      </x:c>
    </x:row>
    <x:row r="105">
      <x:c r="A105" s="2" t="s">
        <x:v>212</x:v>
      </x:c>
      <x:c r="B105" s="2" t="s">
        <x:v>213</x:v>
      </x:c>
      <x:c r="C105" s="2" t="s">
        <x:v>212</x:v>
      </x:c>
      <x:c r="D105" s="3">
        <x:v>0.99993377999999999</x:v>
      </x:c>
      <x:c r="E105" s="3">
        <x:v>0.99993377999999999</x:v>
      </x:c>
      <x:c r="F105" s="3">
        <x:v>6.622E-5</x:v>
      </x:c>
      <x:c r="G105" s="3">
        <x:v>6.622E-5</x:v>
      </x:c>
      <x:c r="H105" s="4">
        <x:f t="shared" si="9"/>
        <x:v>1</x:v>
      </x:c>
      <x:c r="I105" s="4">
        <x:f t="shared" si="10"/>
        <x:v>1</x:v>
      </x:c>
      <x:c r="J105" s="5" t="str">
        <x:f t="shared" si="11"/>
        <x:v>OK</x:v>
      </x:c>
    </x:row>
    <x:row r="106">
      <x:c r="A106" s="2" t="s">
        <x:v>214</x:v>
      </x:c>
      <x:c r="B106" s="2" t="s">
        <x:v>215</x:v>
      </x:c>
      <x:c r="C106" s="2" t="s">
        <x:v>214</x:v>
      </x:c>
      <x:c r="D106" s="3">
        <x:v>1</x:v>
      </x:c>
      <x:c r="E106" s="3">
        <x:v>1</x:v>
      </x:c>
      <x:c r="F106" s="3">
        <x:v>0</x:v>
      </x:c>
      <x:c r="G106" s="3">
        <x:v>0</x:v>
      </x:c>
      <x:c r="H106" s="4">
        <x:f t="shared" si="9"/>
        <x:v>1</x:v>
      </x:c>
      <x:c r="I106" s="4">
        <x:f t="shared" si="10"/>
        <x:v>1</x:v>
      </x:c>
      <x:c r="J106" s="5" t="str">
        <x:f t="shared" si="11"/>
        <x:v>OK</x:v>
      </x:c>
    </x:row>
    <x:row r="107">
      <x:c r="A107" s="2" t="s">
        <x:v>216</x:v>
      </x:c>
      <x:c r="B107" s="2" t="s">
        <x:v>217</x:v>
      </x:c>
      <x:c r="C107" s="2" t="s">
        <x:v>216</x:v>
      </x:c>
      <x:c r="D107" s="3">
        <x:v>1</x:v>
      </x:c>
      <x:c r="E107" s="3">
        <x:v>1</x:v>
      </x:c>
      <x:c r="F107" s="3">
        <x:v>0</x:v>
      </x:c>
      <x:c r="G107" s="3">
        <x:v>0</x:v>
      </x:c>
      <x:c r="H107" s="4">
        <x:f t="shared" si="9"/>
        <x:v>1</x:v>
      </x:c>
      <x:c r="I107" s="4">
        <x:f t="shared" si="10"/>
        <x:v>1</x:v>
      </x:c>
      <x:c r="J107" s="5" t="str">
        <x:f t="shared" si="11"/>
        <x:v>OK</x:v>
      </x:c>
    </x:row>
    <x:row r="108">
      <x:c r="A108" s="2" t="str">
        <x:v>lithium carbonate</x:v>
      </x:c>
      <x:c r="B108" s="2" t="str">
        <x:v>market for lithium carbonate</x:v>
      </x:c>
      <x:c r="C108" s="2" t="str">
        <x:v>lithium carbonate</x:v>
      </x:c>
      <x:c r="D108" s="33" t="n">
        <x:v>0.9991595853954618</x:v>
      </x:c>
      <x:c r="E108" s="33" t="n">
        <x:v>0.9991595853954618</x:v>
      </x:c>
      <x:c r="F108" s="33" t="n">
        <x:v>0.000840414604538239</x:v>
      </x:c>
      <x:c r="G108" s="33" t="n">
        <x:v>0.000840414604538239</x:v>
      </x:c>
      <x:c r="H108" s="4" t="n">
        <x:f>D108+F108</x:f>
        <x:v>1</x:v>
      </x:c>
      <x:c r="I108" s="4" t="n">
        <x:f>E108+G108</x:f>
        <x:v>1</x:v>
      </x:c>
      <x:c r="J108" s="5" t="str">
        <x:f>IF(AND(ROUND(H108,9)=1,ROUND(I108,9)=1),"OK","CHECK")</x:f>
        <x:v>OK</x:v>
      </x:c>
    </x:row>
  </x:sheetData>
  <x:mergeCells>
    <x:mergeCell ref="A1:J1"/>
    <x:mergeCell ref="A2:J2"/>
  </x:mergeCells>
  <x:conditionalFormatting sqref="A5:J107">
    <x:cfRule type="expression" dxfId="1" priority="4">
      <x:formula>$J5="CHECK"</x:formula>
    </x:cfRule>
  </x:conditionalFormatting>
  <x:conditionalFormatting sqref="J5:J107">
    <x:cfRule type="expression" dxfId="0" priority="3">
      <x:formula>J5="CHECK"</x:formula>
    </x:cfRule>
  </x:conditionalFormatting>
  <x:conditionalFormatting sqref="A108:J108">
    <x:cfRule type="expression" dxfId="2" priority="5">
      <x:formula>$J108="CHECK"</x:formula>
    </x:cfRule>
  </x:conditionalFormatting>
  <x:conditionalFormatting sqref="J108:J108">
    <x:cfRule type="expression" dxfId="3" priority="6">
      <x:formula>J108="CHECK"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61bb8de73044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8" customWidth="1"/>
    <x:col min="2" max="2" width="34" customWidth="1"/>
    <x:col min="3" max="3" width="12" customWidth="1"/>
    <x:col min="4" max="4" width="52" customWidth="1"/>
  </x:cols>
  <x:sheetData>
    <x:row r="1" ht="18.299999237060547">
      <x:c r="A1" s="13" t="s">
        <x:v>218</x:v>
      </x:c>
      <x:c r="B1" s="11"/>
      <x:c r="C1" s="11"/>
      <x:c r="D1" s="11"/>
    </x:row>
    <x:row r="3">
      <x:c r="A3" s="6" t="s">
        <x:v>219</x:v>
      </x:c>
      <x:c r="B3" s="6" t="s">
        <x:v>220</x:v>
      </x:c>
      <x:c r="C3" s="6" t="s">
        <x:v>221</x:v>
      </x:c>
      <x:c r="D3" s="6" t="s">
        <x:v>222</x:v>
      </x:c>
    </x:row>
    <x:row r="4">
      <x:c r="A4" s="7" t="s">
        <x:v>223</x:v>
      </x:c>
      <x:c r="B4" s="7" t="s">
        <x:v>224</x:v>
      </x:c>
      <x:c r="C4" s="8" t="s">
        <x:v>225</x:v>
      </x:c>
      <x:c r="D4" s="7" t="s">
        <x:v>226</x:v>
      </x:c>
    </x:row>
    <x:row r="5">
      <x:c r="A5" s="7" t="s">
        <x:v>227</x:v>
      </x:c>
      <x:c r="B5" s="7" t="s">
        <x:v>228</x:v>
      </x:c>
      <x:c r="C5" s="8" t="s">
        <x:v>229</x:v>
      </x:c>
      <x:c r="D5" s="7" t="s">
        <x:v>230</x:v>
      </x:c>
    </x:row>
    <x:row r="7">
      <x:c r="A7" s="9" t="s">
        <x:v>231</x:v>
      </x:c>
    </x:row>
    <x:row r="8">
      <x:c r="A8" s="14" t="s">
        <x:v>232</x:v>
      </x:c>
      <x:c r="B8" s="11"/>
      <x:c r="C8" s="11"/>
      <x:c r="D8" s="11"/>
    </x:row>
    <x:row r="10" ht="42" customHeight="1">
      <x:c r="A10" s="31" t="str">
        <x:v>Updated scope</x:v>
      </x:c>
      <x:c r="B10" s="31" t="str">
        <x:v>11 market rules / 10 metal families</x:v>
      </x:c>
      <x:c r="C10" s="31" t="str">
        <x:v>2026-10-22</x:v>
      </x:c>
      <x:c r="D10" s="31" t="str">
        <x:v>Native baseline and steel unchanged.</x:v>
      </x:c>
    </x:row>
    <x:row r="11" ht="42" customHeight="1">
      <x:c r="A11" s="31" t="str">
        <x:v>Scenario assumptions</x:v>
      </x:c>
      <x:c r="B11" s="31" t="str">
        <x:v>Documented targets and interpolation</x:v>
      </x:c>
      <x:c r="C11" s="31" t="str">
        <x:v>Snapshot only</x:v>
      </x:c>
      <x:c r="D11" s="31" t="str">
        <x:v>Live YAML/CSV files remain authoritative.</x:v>
      </x:c>
    </x:row>
    <x:row r="12" ht="42" customHeight="1">
      <x:c r="A12" s="31" t="str">
        <x:v>Evidence</x:v>
      </x:c>
      <x:c r="B12" s="31" t="str">
        <x:v>Source arithmetic and inventory qualifications</x:v>
      </x:c>
      <x:c r="C12" s="31" t="str">
        <x:v>Snapshot only</x:v>
      </x:c>
      <x:c r="D12" s="31" t="str">
        <x:v>2025 observations are separate from assumed 2050 increments.</x:v>
      </x:c>
    </x:row>
    <x:row r="13" ht="42" customHeight="1">
      <x:c r="A13" s="31" t="str">
        <x:v>Shares</x:v>
      </x:c>
      <x:c r="B13" s="31" t="str">
        <x:v>104-product reference catalogue</x:v>
      </x:c>
      <x:c r="C13" s="31" t="str">
        <x:v>Optional input</x:v>
      </x:c>
      <x:c r="D13" s="31" t="str">
        <x:v>Only the Shares sheet is read when METALS_SHARE_SOURCE = xlsx.</x:v>
      </x:c>
    </x:row>
  </x:sheetData>
  <x:mergeCells>
    <x:mergeCell ref="A1:D1"/>
    <x:mergeCell ref="A8:D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9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16" t="str">
        <x:v>Non-ferrous recycled-input assumptions</x:v>
      </x:c>
      <x:c r="B2" s="15"/>
      <x:c r="C2" s="15"/>
      <x:c r="D2" s="15"/>
      <x:c r="E2" s="15"/>
      <x:c r="F2" s="15"/>
      <x:c r="G2" s="15"/>
    </x:row>
    <x:row r="3">
      <x:c r="A3" s="15" t="str">
        <x:v>Documentation snapshot, 22 October 2026. Runtime numbers come from live YAML/CSV files; these sheets are not new model controls.</x:v>
      </x:c>
      <x:c r="B3" s="15"/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 ht="32" customHeight="1">
      <x:c r="A5" s="20" t="str">
        <x:v>Product</x:v>
      </x:c>
      <x:c r="B5" s="20" t="str">
        <x:v>2020 reference</x:v>
      </x:c>
      <x:c r="C5" s="20" t="str">
        <x:v>2025 supply anchor</x:v>
      </x:c>
      <x:c r="D5" s="20" t="str">
        <x:v>2050 conservative</x:v>
      </x:c>
      <x:c r="E5" s="20" t="str">
        <x:v>2050 moderate</x:v>
      </x:c>
      <x:c r="F5" s="20" t="str">
        <x:v>2050 high</x:v>
      </x:c>
      <x:c r="G5" s="20" t="str">
        <x:v>Market scope</x:v>
      </x:c>
    </x:row>
    <x:row r="6" ht="25" customHeight="1">
      <x:c r="A6" s="15" t="str">
        <x:v>aluminium, cast alloy</x:v>
      </x:c>
      <x:c r="B6" s="25" t="n">
        <x:v>0.688245</x:v>
      </x:c>
      <x:c r="C6" s="25"/>
      <x:c r="D6" s="25" t="n">
        <x:v>0.45</x:v>
      </x:c>
      <x:c r="E6" s="25" t="n">
        <x:v>0.6</x:v>
      </x:c>
      <x:c r="F6" s="25" t="n">
        <x:v>0.7</x:v>
      </x:c>
      <x:c r="G6" s="21" t="str">
        <x:v>World / GLO</x:v>
      </x:c>
    </x:row>
    <x:row r="7" ht="25" customHeight="1">
      <x:c r="A7" s="15" t="str">
        <x:v>copper, cathode</x:v>
      </x:c>
      <x:c r="B7" s="25" t="n">
        <x:v>0.2</x:v>
      </x:c>
      <x:c r="C7" s="25"/>
      <x:c r="D7" s="25" t="n">
        <x:v>0.25</x:v>
      </x:c>
      <x:c r="E7" s="25" t="n">
        <x:v>0.35</x:v>
      </x:c>
      <x:c r="F7" s="25" t="n">
        <x:v>0.45</x:v>
      </x:c>
      <x:c r="G7" s="21" t="str">
        <x:v>World / GLO</x:v>
      </x:c>
    </x:row>
    <x:row r="8" ht="25" customHeight="1">
      <x:c r="A8" s="15" t="str">
        <x:v>nickel, class 1</x:v>
      </x:c>
      <x:c r="B8" s="26" t="n">
        <x:v>0.002028465</x:v>
      </x:c>
      <x:c r="C8" s="25"/>
      <x:c r="D8" s="25" t="n">
        <x:v>0.2</x:v>
      </x:c>
      <x:c r="E8" s="25" t="n">
        <x:v>0.25</x:v>
      </x:c>
      <x:c r="F8" s="25" t="n">
        <x:v>0.3</x:v>
      </x:c>
      <x:c r="G8" s="21" t="str">
        <x:v>World / GLO</x:v>
      </x:c>
    </x:row>
    <x:row r="9" ht="25" customHeight="1">
      <x:c r="A9" s="15" t="str">
        <x:v>cobalt</x:v>
      </x:c>
      <x:c r="B9" s="25" t="n">
        <x:v>0.005716258</x:v>
      </x:c>
      <x:c r="C9" s="25"/>
      <x:c r="D9" s="25" t="n">
        <x:v>0.2</x:v>
      </x:c>
      <x:c r="E9" s="25" t="n">
        <x:v>0.3</x:v>
      </x:c>
      <x:c r="F9" s="25" t="n">
        <x:v>0.4</x:v>
      </x:c>
      <x:c r="G9" s="21" t="str">
        <x:v>World / GLO</x:v>
      </x:c>
    </x:row>
    <x:row r="10" ht="25" customHeight="1">
      <x:c r="A10" s="15" t="str">
        <x:v>lead</x:v>
      </x:c>
      <x:c r="B10" s="25" t="n">
        <x:v>0.549162034</x:v>
      </x:c>
      <x:c r="C10" s="25"/>
      <x:c r="D10" s="25" t="n">
        <x:v>0.65</x:v>
      </x:c>
      <x:c r="E10" s="25" t="n">
        <x:v>0.77</x:v>
      </x:c>
      <x:c r="F10" s="25" t="n">
        <x:v>0.85</x:v>
      </x:c>
      <x:c r="G10" s="21" t="str">
        <x:v>World / GLO</x:v>
      </x:c>
    </x:row>
    <x:row r="11" ht="25" customHeight="1">
      <x:c r="A11" s="15" t="str">
        <x:v>lithium carbonate, battery grade</x:v>
      </x:c>
      <x:c r="B11" s="27" t="n">
        <x:v>0.000840414604538239</x:v>
      </x:c>
      <x:c r="C11" s="25"/>
      <x:c r="D11" s="25" t="n">
        <x:v>0.22281639928698752</x:v>
      </x:c>
      <x:c r="E11" s="25" t="n">
        <x:v>0.22281639928698752</x:v>
      </x:c>
      <x:c r="F11" s="25" t="n">
        <x:v>0.3730846102598268</x:v>
      </x:c>
      <x:c r="G11" s="21" t="str">
        <x:v>World</x:v>
      </x:c>
    </x:row>
    <x:row r="12" ht="25" customHeight="1">
      <x:c r="A12" s="15" t="str">
        <x:v>gold</x:v>
      </x:c>
      <x:c r="B12" s="25" t="n">
        <x:v>0.004426657</x:v>
      </x:c>
      <x:c r="C12" s="25" t="n">
        <x:v>0.27666029669615244</x:v>
      </x:c>
      <x:c r="D12" s="25" t="n">
        <x:v>0.27666029669615244</x:v>
      </x:c>
      <x:c r="E12" s="25" t="n">
        <x:v>0.3766602966961524</x:v>
      </x:c>
      <x:c r="F12" s="25" t="n">
        <x:v>0.47666029669615245</x:v>
      </x:c>
      <x:c r="G12" s="21" t="str">
        <x:v>World / GLO</x:v>
      </x:c>
    </x:row>
    <x:row r="13" ht="25" customHeight="1">
      <x:c r="A13" s="15" t="str">
        <x:v>silver</x:v>
      </x:c>
      <x:c r="B13" s="25" t="n">
        <x:v>0.084636523</x:v>
      </x:c>
      <x:c r="C13" s="25" t="n">
        <x:v>0.18923577858647767</x:v>
      </x:c>
      <x:c r="D13" s="25" t="n">
        <x:v>0.18923577858647767</x:v>
      </x:c>
      <x:c r="E13" s="25" t="n">
        <x:v>0.28923577858647764</x:v>
      </x:c>
      <x:c r="F13" s="25" t="n">
        <x:v>0.3892357785864777</x:v>
      </x:c>
      <x:c r="G13" s="21" t="str">
        <x:v>World / GLO</x:v>
      </x:c>
    </x:row>
    <x:row r="14" ht="25" customHeight="1">
      <x:c r="A14" s="15" t="str">
        <x:v>platinum</x:v>
      </x:c>
      <x:c r="B14" s="25" t="n">
        <x:v>0.044600386</x:v>
      </x:c>
      <x:c r="C14" s="25" t="n">
        <x:v>0.21776463963963963</x:v>
      </x:c>
      <x:c r="D14" s="25" t="n">
        <x:v>0.21776463963963963</x:v>
      </x:c>
      <x:c r="E14" s="25" t="n">
        <x:v>0.31776463963963963</x:v>
      </x:c>
      <x:c r="F14" s="25" t="n">
        <x:v>0.4177646396396396</x:v>
      </x:c>
      <x:c r="G14" s="21" t="str">
        <x:v>World / GLO</x:v>
      </x:c>
    </x:row>
    <x:row r="15" ht="25" customHeight="1">
      <x:c r="A15" s="15" t="str">
        <x:v>palladium</x:v>
      </x:c>
      <x:c r="B15" s="25" t="n">
        <x:v>0.155485524</x:v>
      </x:c>
      <x:c r="C15" s="25" t="n">
        <x:v>0.3223981900452489</x:v>
      </x:c>
      <x:c r="D15" s="25" t="n">
        <x:v>0.3223981900452489</x:v>
      </x:c>
      <x:c r="E15" s="25" t="n">
        <x:v>0.4223981900452489</x:v>
      </x:c>
      <x:c r="F15" s="25" t="n">
        <x:v>0.5223981900452489</x:v>
      </x:c>
      <x:c r="G15" s="21" t="str">
        <x:v>World / GLO</x:v>
      </x:c>
    </x:row>
    <x:row r="16">
      <x:c r="A16" s="15" t="str">
        <x:v>lithium carbonate</x:v>
      </x:c>
      <x:c r="B16" s="27" t="n">
        <x:v>0.000840414604538239</x:v>
      </x:c>
      <x:c r="C16" s="25"/>
      <x:c r="D16" s="25" t="n">
        <x:v>0.22281639928698752</x:v>
      </x:c>
      <x:c r="E16" s="25" t="n">
        <x:v>0.22281639928698752</x:v>
      </x:c>
      <x:c r="F16" s="25" t="n">
        <x:v>0.37308461025982675</x:v>
      </x:c>
      <x:c r="G16" s="21" t="str">
        <x:v>GLO</x:v>
      </x:c>
    </x:row>
    <x:row r="18">
      <x:c r="A18" s="18" t="str">
        <x:v>Case</x:v>
      </x:c>
      <x:c r="B18" s="18" t="str">
        <x:v>Meaning</x:v>
      </x:c>
      <x:c r="C18" s="15"/>
      <x:c r="D18" s="15"/>
      <x:c r="E18" s="15"/>
      <x:c r="F18" s="15"/>
      <x:c r="G18" s="15"/>
    </x:row>
    <x:row r="19" ht="40" customHeight="1">
      <x:c r="A19" s="15" t="str">
        <x:v>baseline</x:v>
      </x:c>
      <x:c r="B19" s="31" t="str">
        <x:v>Native installed-premise modelling. No supply-share override. Steel remains endogenous to IAM/EDM-I.</x:v>
      </x:c>
      <x:c r="C19" s="31"/>
      <x:c r="D19" s="31"/>
      <x:c r="E19" s="31"/>
      <x:c r="F19" s="31"/>
      <x:c r="G19" s="31"/>
    </x:row>
    <x:row r="20" ht="40" customHeight="1">
      <x:c r="A20" s="15" t="str">
        <x:v>reference</x:v>
      </x:c>
      <x:c r="B20" s="31" t="str">
        <x:v>Fixed documented 2020 model fractions; future process/background inventories still evolve.</x:v>
      </x:c>
      <x:c r="C20" s="31"/>
      <x:c r="D20" s="31"/>
      <x:c r="E20" s="31"/>
      <x:c r="F20" s="31"/>
      <x:c r="G20" s="31"/>
    </x:row>
    <x:row r="21" ht="40" customHeight="1">
      <x:c r="A21" s="15" t="str">
        <x:v>conservative / moderate / high</x:v>
      </x:c>
      <x:c r="B21" s="31" t="str">
        <x:v>Minimum floors: applied secondary = max(native share, interpolated floor). Primary/non-secondary remainder = 1 - secondary.</x:v>
      </x:c>
      <x:c r="C21" s="31"/>
      <x:c r="D21" s="31"/>
      <x:c r="E21" s="31"/>
      <x:c r="F21" s="31"/>
      <x:c r="G21" s="31"/>
    </x:row>
    <x:row r="22" ht="40" customHeight="1">
      <x:c r="A22" s="15" t="str">
        <x:v>primary_only</x:v>
      </x:c>
      <x:c r="B22" s="31" t="str">
        <x:v>Zero approved secondary input. The silver remainder may include residues of unresolved provenance, not verified 100% virgin metal.</x:v>
      </x:c>
      <x:c r="C22" s="31"/>
      <x:c r="D22" s="31"/>
      <x:c r="E22" s="31"/>
      <x:c r="F22" s="31"/>
      <x:c r="G22" s="31"/>
    </x:row>
    <x:row r="23" ht="40" customHeight="1">
      <x:c r="A23" s="15" t="str">
        <x:v>Non-precious products</x:v>
      </x:c>
      <x:c r="B23" s="31" t="str">
        <x:v>Linear 2020-2050 floors. Both carbonate rules use global elemental-Li representative-compound sensitivities, not compound-grade forecasts.</x:v>
      </x:c>
      <x:c r="C23" s="31"/>
      <x:c r="D23" s="31"/>
      <x:c r="E23" s="31"/>
      <x:c r="F23" s="31"/>
      <x:c r="G23" s="31"/>
    </x:row>
    <x:row r="24" ht="40" customHeight="1">
      <x:c r="A24" s="15" t="str">
        <x:v>Precious metals</x:v>
      </x:c>
      <x:c r="B24" s="31" t="str">
        <x:v>Piecewise linear 2020-2025-2050. Conservative holds the reported 2025 anchor; moderate/high add 10/20 percentage points.</x:v>
      </x:c>
      <x:c r="C24" s="31"/>
      <x:c r="D24" s="31"/>
      <x:c r="E24" s="31"/>
      <x:c r="F24" s="31"/>
      <x:c r="G24" s="31"/>
    </x:row>
    <x:row r="25" ht="40" customHeight="1">
      <x:c r="A25" s="15" t="str">
        <x:v>Future increments</x:v>
      </x:c>
      <x:c r="B25" s="31" t="str">
        <x:v>Analyst sensitivity assumptions, not published 2050 forecasts. Endpoints clamp outside the stated interval. No scrap-stock feasibility is solved.</x:v>
      </x:c>
      <x:c r="C25" s="31"/>
      <x:c r="D25" s="31"/>
      <x:c r="E25" s="31"/>
      <x:c r="F25" s="31"/>
      <x:c r="G25" s="31"/>
    </x:row>
    <x:row r="26" ht="40" customHeight="1">
      <x:c r="A26" s="15" t="str">
        <x:v>Supplier recipes</x:v>
      </x:c>
      <x:c r="B26" s="31" t="str">
        <x:v>Existing recovery technology/location weights, gross distribution losses, uncertainty and full recycling burdens are retained. No zero-burden supplier is invented.</x:v>
      </x:c>
      <x:c r="C26" s="31"/>
      <x:c r="D26" s="31"/>
      <x:c r="E26" s="31"/>
      <x:c r="F26" s="31"/>
      <x:c r="G26" s="31"/>
    </x:row>
    <x:row r="27" ht="40" customHeight="1">
      <x:c r="A27" s="15" t="str">
        <x:v>Silver Parkes stream</x:v>
      </x:c>
      <x:c r="B27" s="31" t="str">
        <x:v>Kept in non-secondary remainder because primary lead refining can produce Parkes crust. Only e-waste and x-ray-film recovery count as approved recycled silver.</x:v>
      </x:c>
      <x:c r="C27" s="31"/>
      <x:c r="D27" s="31"/>
      <x:c r="E27" s="31"/>
      <x:c r="F27" s="31"/>
      <x:c r="G27" s="31"/>
    </x:row>
    <x:row r="28" ht="40" customHeight="1">
      <x:c r="A28" s="15" t="str">
        <x:v>Scope and deferred products</x:v>
      </x:c>
      <x:c r="B28" s="31" t="str">
        <x:v>11 exact market rules / 10 metal families. Battery-grade GLO lithium and unsupported zinc, tin, manganese, magnesium, rhodium and magnet materials remain native.</x:v>
      </x:c>
      <x:c r="C28" s="31"/>
      <x:c r="D28" s="31"/>
      <x:c r="E28" s="31"/>
      <x:c r="F28" s="31"/>
      <x:c r="G28" s="31"/>
    </x:row>
    <x:row r="29" ht="40" customHeight="1">
      <x:c r="A29" s="15" t="str">
        <x:v>Source of truth</x:v>
      </x:c>
      <x:c r="B29" s="31" t="str">
        <x:v>Shares contains 104 reference products including ordinary carbonate, not 104 active overrides. YAML/CSV remain live controls; XLSX mode reads Shares only.</x:v>
      </x:c>
      <x:c r="C29" s="31"/>
      <x:c r="D29" s="31"/>
      <x:c r="E29" s="31"/>
      <x:c r="F29" s="31"/>
      <x:c r="G29" s="31"/>
    </x:row>
    <x:row r="30" ht="40" customHeight="1">
      <x:c r="A30" s="15" t="str">
        <x:v>Rebuild</x:v>
      </x:c>
      <x:c r="B30" s="31" t="str">
        <x:v>After changing YAML/CSV inputs, rerun notebook 1 and recalculate notebook 2. Old result packages do not acquire new shares automatically.</x:v>
      </x:c>
      <x:c r="C30" s="31"/>
      <x:c r="D30" s="31"/>
      <x:c r="E30" s="31"/>
      <x:c r="F30" s="31"/>
      <x:c r="G30" s="31"/>
    </x:row>
  </x:sheetData>
  <x:mergeCells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16" t="str">
        <x:v>Source calculations and inventory boundaries</x:v>
      </x:c>
      <x:c r="B2" s="15"/>
      <x:c r="C2" s="15"/>
      <x:c r="D2" s="15"/>
      <x:c r="E2" s="15"/>
      <x:c r="F2" s="15"/>
      <x:c r="G2" s="15"/>
    </x:row>
    <x:row r="3">
      <x:c r="A3" s="15" t="str">
        <x:v>2025 figures below are physical supply anchors. S / (P + S) excludes stock and hedging adjustments; PGM supply is open-loop only.</x:v>
      </x:c>
      <x:c r="B3" s="15"/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 ht="32" customHeight="1">
      <x:c r="A5" s="20" t="str">
        <x:v>Metal</x:v>
      </x:c>
      <x:c r="B5" s="20" t="str">
        <x:v>Year</x:v>
      </x:c>
      <x:c r="C5" s="20" t="str">
        <x:v>Primary P</x:v>
      </x:c>
      <x:c r="D5" s="20" t="str">
        <x:v>Secondary S</x:v>
      </x:c>
      <x:c r="E5" s="20" t="str">
        <x:v>Unit</x:v>
      </x:c>
      <x:c r="F5" s="20" t="str">
        <x:v>S / (P + S)</x:v>
      </x:c>
      <x:c r="G5" s="20" t="str">
        <x:v>Source ID</x:v>
      </x:c>
    </x:row>
    <x:row r="6" ht="25" customHeight="1">
      <x:c r="A6" s="15" t="str">
        <x:v>gold</x:v>
      </x:c>
      <x:c r="B6" s="21" t="n">
        <x:v>2025</x:v>
      </x:c>
      <x:c r="C6" s="32" t="n">
        <x:v>3671.6</x:v>
      </x:c>
      <x:c r="D6" s="32" t="n">
        <x:v>1404.3</x:v>
      </x:c>
      <x:c r="E6" s="21" t="str">
        <x:v>tonne</x:v>
      </x:c>
      <x:c r="F6" s="22" t="n">
        <x:f>D6/SUM(C6:D6)</x:f>
        <x:v>0.27666029669615244</x:v>
      </x:c>
      <x:c r="G6" s="21" t="str">
        <x:v>wgc_gold_2025</x:v>
      </x:c>
    </x:row>
    <x:row r="7" ht="25" customHeight="1">
      <x:c r="A7" s="15" t="str">
        <x:v>silver</x:v>
      </x:c>
      <x:c r="B7" s="21" t="n">
        <x:v>2025</x:v>
      </x:c>
      <x:c r="C7" s="32" t="n">
        <x:v>846.6</x:v>
      </x:c>
      <x:c r="D7" s="32" t="n">
        <x:v>197.6</x:v>
      </x:c>
      <x:c r="E7" s="21" t="str">
        <x:v>million troy oz</x:v>
      </x:c>
      <x:c r="F7" s="22" t="n">
        <x:f>D7/SUM(C7:D7)</x:f>
        <x:v>0.18923577858647767</x:v>
      </x:c>
      <x:c r="G7" s="21" t="str">
        <x:v>silver_survey_2026</x:v>
      </x:c>
    </x:row>
    <x:row r="8" ht="25" customHeight="1">
      <x:c r="A8" s="15" t="str">
        <x:v>platinum</x:v>
      </x:c>
      <x:c r="B8" s="21" t="n">
        <x:v>2025</x:v>
      </x:c>
      <x:c r="C8" s="32" t="n">
        <x:v>5557</x:v>
      </x:c>
      <x:c r="D8" s="32" t="n">
        <x:v>1547</x:v>
      </x:c>
      <x:c r="E8" s="21" t="str">
        <x:v>thousand troy oz</x:v>
      </x:c>
      <x:c r="F8" s="22" t="n">
        <x:f>D8/SUM(C8:D8)</x:f>
        <x:v>0.21776463963963963</x:v>
      </x:c>
      <x:c r="G8" s="21" t="str">
        <x:v>jm_pgm_2026</x:v>
      </x:c>
    </x:row>
    <x:row r="9" ht="25" customHeight="1">
      <x:c r="A9" s="15" t="str">
        <x:v>palladium</x:v>
      </x:c>
      <x:c r="B9" s="21" t="n">
        <x:v>2025</x:v>
      </x:c>
      <x:c r="C9" s="32" t="n">
        <x:v>6589</x:v>
      </x:c>
      <x:c r="D9" s="32" t="n">
        <x:v>3135</x:v>
      </x:c>
      <x:c r="E9" s="21" t="str">
        <x:v>thousand troy oz</x:v>
      </x:c>
      <x:c r="F9" s="22" t="n">
        <x:f>D9/SUM(C9:D9)</x:f>
        <x:v>0.3223981900452489</x:v>
      </x:c>
      <x:c r="G9" s="21" t="str">
        <x:v>jm_pgm_2026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8" t="str">
        <x:v>Source ID</x:v>
      </x:c>
      <x:c r="B12" s="18" t="str">
        <x:v>Report / dataset URL</x:v>
      </x:c>
      <x:c r="C12" s="18"/>
      <x:c r="D12" s="18"/>
      <x:c r="E12" s="18" t="str">
        <x:v>Scope and assumptions</x:v>
      </x:c>
      <x:c r="F12" s="18"/>
      <x:c r="G12" s="18"/>
    </x:row>
    <x:row r="13" ht="110" customHeight="1">
      <x:c r="A13" s="31" t="str">
        <x:v>iea_recycling_2024</x:v>
      </x:c>
      <x:c r="B13" s="31" t="str">
        <x:v>https://www.iea.org/reports/recycling-of-critical-minerals/executive-summary</x:v>
      </x:c>
      <x:c r="C13" s="31"/>
      <x:c r="D13" s="31"/>
      <x:c r="E13" s="31" t="str">
        <x:v>Accessed 2026-10-13. Supports higher secondary supply and the need to distinguish recycled input from collection and recovery rates. Battery-metal and whole-metal markets are not interchangeable; configured nickel/cobalt targets are screening assumptions, not direct reproductions of an IEA scenario.</x:v>
      </x:c>
      <x:c r="F13" s="31"/>
      <x:c r="G13" s="31"/>
    </x:row>
    <x:row r="14" ht="110" customHeight="1">
      <x:c r="A14" s="31" t="str">
        <x:v>ica_copper_2023</x:v>
      </x:c>
      <x:c r="B14" s="31" t="str">
        <x:v>https://internationalcopper.org/wp-content/uploads/2023/03/Copper_The-Pathway-to-Net-Zero_Focus-on-Europe_final.pdf</x:v>
      </x:c>
      <x:c r="C14" s="31"/>
      <x:c r="D14" s="31"/>
      <x:c r="E14" s="31" t="str">
        <x:v>Accessed 2026-10-13. Reports an EU 2050 end-of-life scrap contribution to refined copper of approximately 26-29%. It does not establish a global cathode target.</x:v>
      </x:c>
      <x:c r="F14" s="31"/>
      <x:c r="G14" s="31"/>
    </x:row>
    <x:row r="15" ht="110" customHeight="1">
      <x:c r="A15" s="31" t="str">
        <x:v>jrc_aluminium_2024</x:v>
      </x:c>
      <x:c r="B15" s="31" t="str">
        <x:v>https://publications.jrc.ec.europa.eu/repository/handle/JRC136525</x:v>
      </x:c>
      <x:c r="C15" s="31"/>
      <x:c r="D15" s="31"/>
      <x:c r="E15" s="31" t="str">
        <x:v>Accessed 2026-10-13. Supports secondary production as a decarbonisation route; not a source for an exact global cast-alloy 70% recycled-content forecast.</x:v>
      </x:c>
      <x:c r="F15" s="31"/>
      <x:c r="G15" s="31"/>
    </x:row>
    <x:row r="16" ht="110" customHeight="1">
      <x:c r="A16" s="31" t="str">
        <x:v>van_der_voet_2019</x:v>
      </x:c>
      <x:c r="B16" s="31" t="str">
        <x:v>https://doi.org/10.1111/jiec.12722</x:v>
      </x:c>
      <x:c r="C16" s="31"/>
      <x:c r="D16" s="31"/>
      <x:c r="E16" s="31" t="str">
        <x:v>Accessed 2026-10-13. Stock-flow-informed scenarios include 77% secondary lead in 2050. The 65% and 85% endpoints below bracket this as repo sensitivities.</x:v>
      </x:c>
      <x:c r="F16" s="31"/>
      <x:c r="G16" s="31"/>
    </x:row>
    <x:row r="17" ht="110" customHeight="1">
      <x:c r="A17" s="31" t="str">
        <x:v>iea_critical_minerals_2026</x:v>
      </x:c>
      <x:c r="B17" s="31" t="str">
        <x:v>https://www.iea.org/reports/global-critical-minerals-outlook-2026</x:v>
      </x:c>
      <x:c r="C17" s="31"/>
      <x:c r="D17" s="31"/>
      <x:c r="E17" s="31" t="str">
        <x:v>Accessed 2026-10-20. Pages 145 and 350 give approximate 2050 recycled lithium supply of 250 kt in the STEPS-context base case and 560 kt in HDS, against total global demand of 1122 and 1501 kt Li respectively. Derived fractions are about 22.3% and 37.3%, not measured battery-grade carbonate shares. No complete 2026 intermediate-year recycling series was verified.</x:v>
      </x:c>
      <x:c r="F17" s="31"/>
      <x:c r="G17" s="31"/>
    </x:row>
    <x:row r="18" ht="110" customHeight="1">
      <x:c r="A18" s="31" t="str">
        <x:v>wgc_gold_2025</x:v>
      </x:c>
      <x:c r="B18" s="31" t="str">
        <x:v>https://www.gold.org/goldhub/research/gold-demand-trends/gold-demand-trends-full-year-2025/supply</x:v>
      </x:c>
      <x:c r="C18" s="31"/>
      <x:c r="D18" s="31"/>
      <x:c r="E18" s="31" t="str">
        <x:v>Accessed 2026-10-20; published 2026-01-29. 2025 physical supply anchor: recycled 1404.3 t divided by mine 3671.6 t plus recycled 1404.3 t = 0.2766602966961524. Excludes net producer hedging. This is not a 2050 forecast. Hold this anchor in conservative; add 0.10 and 0.20 absolute share in moderate/high as analyst-selected sensitivities.</x:v>
      </x:c>
      <x:c r="F18" s="31"/>
      <x:c r="G18" s="31"/>
    </x:row>
    <x:row r="19" ht="110" customHeight="1">
      <x:c r="A19" s="31" t="str">
        <x:v>silver_survey_2026</x:v>
      </x:c>
      <x:c r="B19" s="31" t="str">
        <x:v>https://silverinstitute.org/wp-content/uploads/2026/04/World-Silver-Survey-2026.pdf</x:v>
      </x:c>
      <x:c r="C19" s="31"/>
      <x:c r="D19" s="31"/>
      <x:c r="E19" s="31" t="str">
        <x:v>Accessed 2026-10-20. 2025 physical supply anchor: recycled 197.6 Moz divided by mine 846.6 Moz plus recycled 197.6 Moz = 0.1892357785864777. Excludes hedging, official sector sales and stock movements. The 2050 increments are analyst sensitivities, not published projections.</x:v>
      </x:c>
      <x:c r="F19" s="31"/>
      <x:c r="G19" s="31"/>
    </x:row>
    <x:row r="20" ht="110" customHeight="1">
      <x:c r="A20" s="31" t="str">
        <x:v>jm_pgm_2026</x:v>
      </x:c>
      <x:c r="B20" s="31" t="str">
        <x:v>https://matthey.com/documents/161599/509428/pgm-market-report-26.pdf/a2d115af-bf7c-f589-29e9-6beacf8a4452</x:v>
      </x:c>
      <x:c r="C20" s="31"/>
      <x:c r="D20" s="31"/>
      <x:c r="E20" s="31" t="str">
        <x:v>Accessed 2026-10-20; published 2026-05-14. May 2026 report pp27-30, 2025 actual estimates in thousand troy oz: Pt secondary1547/(primary5557+secondary1547)=0.2177646396396396; Pd secondary3135/(primary6589+secondary3135)=0.3223981900452489. Open-loop secondary supply; industrial demand is net of closed-loop recycling. No extra industrial closed-loop contribution is added. These are 2025 anchors; 2050 increments are analyst-selected sensitivities.</x:v>
      </x:c>
      <x:c r="F20" s="31"/>
      <x:c r="G20" s="31"/>
    </x:row>
    <x:row r="21" ht="110" customHeight="1">
      <x:c r="A21" s="31" t="str">
        <x:v>ecoinvent_parkes_origin</x:v>
      </x:c>
      <x:c r="B21" s="31" t="str">
        <x:v>https://ecoquery.ecoinvent.org/3.11/cutoff/dataset/3511</x:v>
      </x:c>
      <x:c r="C21" s="31"/>
      <x:c r="D21" s="31"/>
      <x:c r="E21" s="31" t="str">
        <x:v>Accessed 2026-10-20. Primary lead production from concentrate also produces Parkes crust. Its subsequent treatment is not sufficient evidence of post-consumer or manufacturing-scrap recycling. Keep this silver stream in the non-secondary remainder rather than expanding it as recycled supply.</x:v>
      </x:c>
      <x:c r="F21" s="31"/>
      <x:c r="G21" s="31"/>
    </x:row>
    <x:row r="22" ht="110" customHeight="1">
      <x:c r="A22" s="31" t="str">
        <x:v>candidate_Cespi_2025</x:v>
      </x:c>
      <x:c r="B22" s="31" t="str">
        <x:v>https://doi.org/10.1016/j.cesys.2025.100310</x:v>
      </x:c>
      <x:c r="C22" s="31"/>
      <x:c r="D22" s="31"/>
      <x:c r="E22" s="31" t="str">
        <x:v>Not implemented: mixed-feed precious-metal recycling LCI (Au/Ag/Pt/Pd/Rh). Public inventory at https://doi.org/10.6092/unibo/amsacta/8288. Allocation, collection boundaries and global representativeness require review before import.</x:v>
      </x:c>
      <x:c r="F22" s="31"/>
      <x:c r="G22" s="31"/>
    </x:row>
    <x:row r="23" ht="110" customHeight="1">
      <x:c r="A23" s="31" t="str">
        <x:v>candidate_zinc_Rostek_2023</x:v>
      </x:c>
      <x:c r="B23" s="31" t="str">
        <x:v>https://doi.org/10.1016/j.rcradv.2023.200166</x:v>
      </x:c>
      <x:c r="C23" s="31"/>
      <x:c r="D23" s="31"/>
      <x:c r="E23" s="31" t="str">
        <x:v>Not implemented: global zinc recycling scenarios to2050. Refined-metal share requires consistent same-stage numerator/denominator and a complete secondary refining route; do not substitute concentrate or burden-free scrap adapters.</x:v>
      </x:c>
      <x:c r="F23" s="31"/>
      <x:c r="G23" s="31"/>
    </x:row>
    <x:row r="24" ht="110" customHeight="1">
      <x:c r="A24" s="31" t="str">
        <x:v>candidate_tin_Chowdhury_2026</x:v>
      </x:c>
      <x:c r="B24" s="31" t="str">
        <x:v>https://doi.org/10.1039/D5SU00956A</x:v>
      </x:c>
      <x:c r="C24" s="31"/>
      <x:c r="D24" s="31"/>
      <x:c r="E24" s="31" t="str">
        <x:v>Not implemented: global refined-tin RIR sensitivities40-60%, not validated forecasts. A complete secondary-tin recovery/purification LCI and collection boundaries must be connected before activation.</x:v>
      </x:c>
      <x:c r="F24" s="31"/>
      <x:c r="G24" s="31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8" t="str">
        <x:v>Product</x:v>
      </x:c>
      <x:c r="B27" s="18" t="str">
        <x:v>Inventory qualification</x:v>
      </x:c>
      <x:c r="C27" s="18"/>
      <x:c r="D27" s="18"/>
      <x:c r="E27" s="18"/>
      <x:c r="F27" s="18"/>
      <x:c r="G27" s="18" t="str">
        <x:v>Source IDs</x:v>
      </x:c>
    </x:row>
    <x:row r="28" ht="100" customHeight="1">
      <x:c r="A28" s="31" t="str">
        <x:v>aluminium, cast alloy</x:v>
      </x:c>
      <x:c r="B28" s="31" t="str">
        <x:v>Curves come from the selected scenario file. Minimum mode retains a higher native share instead of imposing the 45%/60% source endpoints. Future fractions are sensitivities, not validated cast-alloy forecasts.</x:v>
      </x:c>
      <x:c r="C28" s="31"/>
      <x:c r="D28" s="31"/>
      <x:c r="E28" s="31"/>
      <x:c r="F28" s="31"/>
      <x:c r="G28" s="31" t="str">
        <x:v>jrc_aluminium_2024</x:v>
      </x:c>
    </x:row>
    <x:row r="29" ht="100" customHeight="1">
      <x:c r="A29" s="31" t="str">
        <x:v>copper, cathode</x:v>
      </x:c>
      <x:c r="B29" s="31" t="str">
        <x:v>25% is conservative relative to the cited EU scrap contribution; 45% is a higher global sensitivity. Neither reproduces the EU forecast or equates reduced mining requirements with recycled cathode content.</x:v>
      </x:c>
      <x:c r="C29" s="31"/>
      <x:c r="D29" s="31"/>
      <x:c r="E29" s="31"/>
      <x:c r="F29" s="31"/>
      <x:c r="G29" s="31" t="str">
        <x:v>ica_copper_2023, iea_recycling_2024</x:v>
      </x:c>
    </x:row>
    <x:row r="30" ht="100" customHeight="1">
      <x:c r="A30" s="31" t="str">
        <x:v>nickel, class 1</x:v>
      </x:c>
      <x:c r="B30" s="31" t="str">
        <x:v>Existing same-grade recycling providers only. These scenarios scale the existing electronics-scrap recovery recipe; they do not invent a future battery-grade nickel process, or assign whole-sector recycled nickel percentages directly to nickel class 1 without qualification.</x:v>
      </x:c>
      <x:c r="C30" s="31"/>
      <x:c r="D30" s="31"/>
      <x:c r="E30" s="31"/>
      <x:c r="F30" s="31"/>
      <x:c r="G30" s="31" t="str">
        <x:v>iea_recycling_2024</x:v>
      </x:c>
    </x:row>
    <x:row r="31" ht="100" customHeight="1">
      <x:c r="A31" s="31" t="str">
        <x:v>cobalt</x:v>
      </x:c>
      <x:c r="B31" s="31" t="str">
        <x:v>Scales the existing hydrometallurgical/pyrometallurgical recovery recipe. The 40% case is deliberately exploratory and is not directly inferred from the IEA percentage reduction in new mine development.</x:v>
      </x:c>
      <x:c r="C31" s="31"/>
      <x:c r="D31" s="31"/>
      <x:c r="E31" s="31"/>
      <x:c r="F31" s="31"/>
      <x:c r="G31" s="31" t="str">
        <x:v>iea_recycling_2024</x:v>
      </x:c>
    </x:row>
    <x:row r="32" ht="100" customHeight="1">
      <x:c r="A32" s="31" t="str">
        <x:v>lead</x:v>
      </x:c>
      <x:c r="B32" s="31" t="str">
        <x:v>Lower/upper sensitivity around the literature 77% secondary-production figure. The same remelting/recovery burdens are retained, not credited away.</x:v>
      </x:c>
      <x:c r="C32" s="31"/>
      <x:c r="D32" s="31"/>
      <x:c r="E32" s="31"/>
      <x:c r="F32" s="31"/>
      <x:c r="G32" s="31" t="str">
        <x:v>van_der_voet_2019</x:v>
      </x:c>
    </x:row>
    <x:row r="33" ht="100" customHeight="1">
      <x:c r="A33" s="31" t="str">
        <x:v>lithium carbonate, battery grade</x:v>
      </x:c>
      <x:c r="B33" s="31" t="str">
        <x:v>Interpolate the minimum linearly between the documented 2020 reference fraction and the 2050 endpoint, with endpoint clamping, as requested by the user. This interpolation is a modelling assumption, not an IEA intermediate-year recycling forecast. Conservative and moderate use the same STEPS-context endpoint; high uses HDS. A higher native share is retained. The global elemental-Li fraction is applied to this carbonate market as a representative-compound sensitivity, not a verified battery-grade forecast. Reference and primary-only remain explicit counterfactuals; native baseline is unchanged.</x:v>
      </x:c>
      <x:c r="C33" s="31"/>
      <x:c r="D33" s="31"/>
      <x:c r="E33" s="31"/>
      <x:c r="F33" s="31"/>
      <x:c r="G33" s="31" t="str">
        <x:v>iea_critical_minerals_2026, iea_recycling_2024</x:v>
      </x:c>
    </x:row>
    <x:row r="34" ht="100" customHeight="1">
      <x:c r="A34" s="31" t="str">
        <x:v>gold</x:v>
      </x:c>
      <x:c r="B34" s="31" t="str">
        <x:v>Exact existing e-waste recovery identity, any existing provider location; actual ecoinvent 3.12 includes SE/RoW while the pinned upstream selector names GLO/RoW. Do not invent a GLO supplier or silently change geography. Existing route weights and full recycling burdens are retained. This is an explicit e-waste technology proxy for mixed global recycled gold, including jewellery; no claim that it represents the actual scrap mix.</x:v>
      </x:c>
      <x:c r="C34" s="31"/>
      <x:c r="D34" s="31"/>
      <x:c r="E34" s="31"/>
      <x:c r="F34" s="31"/>
      <x:c r="G34" s="31" t="str">
        <x:v>wgc_gold_2025</x:v>
      </x:c>
    </x:row>
    <x:row r="35" ht="100" customHeight="1">
      <x:c r="A35" s="31" t="str">
        <x:v>silver</x:v>
      </x:c>
      <x:c r="B35" s="31" t="str">
        <x:v>Only the existing same-product e-waste and x-ray-film recovery providers count as secondary. Existing route/location weights and burdens remain. This inherited recipe is a proxy, not a future global scrap composition. Unlisted recycling activities fail closed rather than becoming primary.</x:v>
      </x:c>
      <x:c r="C35" s="31"/>
      <x:c r="D35" s="31"/>
      <x:c r="E35" s="31"/>
      <x:c r="F35" s="31"/>
      <x:c r="G35" s="31" t="str">
        <x:v>silver_survey_2026, ecoinvent_parkes_origin</x:v>
      </x:c>
    </x:row>
    <x:row r="36" ht="100" customHeight="1">
      <x:c r="A36" s="31" t="str">
        <x:v>platinum</x:v>
      </x:c>
      <x:c r="B36" s="31" t="str">
        <x:v>Pinned same-product RER/RoW automobile-catalyst recovery selectors; preserve existing technology/location weights and treatment burdens. Represents the inherited secondary technology mix, not all global recycled Pt sources. Do not add industrial closed-loop recycling again.</x:v>
      </x:c>
      <x:c r="C36" s="31"/>
      <x:c r="D36" s="31"/>
      <x:c r="E36" s="31"/>
      <x:c r="F36" s="31"/>
      <x:c r="G36" s="31" t="str">
        <x:v>jm_pgm_2026</x:v>
      </x:c>
    </x:row>
    <x:row r="37" ht="100" customHeight="1">
      <x:c r="A37" s="31" t="str">
        <x:v>palladium</x:v>
      </x:c>
      <x:c r="B37" s="31" t="str">
        <x:v>Pinned same-product catalyst and electronics recovery selectors; preserve existing process/location weights and full recycling burdens. Vehicle electrification, scrap availability and future scrap composition are not solved. Industrial closed-loop flows are not added again.</x:v>
      </x:c>
      <x:c r="C37" s="31"/>
      <x:c r="D37" s="31"/>
      <x:c r="E37" s="31"/>
      <x:c r="F37" s="31"/>
      <x:c r="G37" s="31" t="str">
        <x:v>jm_pgm_2026</x:v>
      </x:c>
    </x:row>
    <x:row r="38" ht="128" customHeight="1">
      <x:c r="A38" s="31" t="str">
        <x:v>lithium carbonate</x:v>
      </x:c>
      <x:c r="B38" s="31" t="str">
        <x:v>GLO same-product hydrometallurgical recovery already supplies 0.08404146%. Rescale existing supplies, retaining recovery burdens, primary weights and logistics. IEA 2026 elemental-Li endpoints250/1122 and560/1501 are representative-compound sensitivities. Ordinary hydroxide benefits via its existing carbonate input (observed1.622797 kg/kg), without another floor or credit. Battery-grade GLO remains native. RELICS Lithium-only factors omit Spodumene; the indicator is not complete elemental-Li extraction.</x:v>
      </x:c>
      <x:c r="C38" s="31"/>
      <x:c r="D38" s="31"/>
      <x:c r="E38" s="31"/>
      <x:c r="F38" s="31"/>
      <x:c r="G38" s="31" t="str">
        <x:v>iea_critical_minerals_2026, iea_recycling_2024; exported GLO inventory audit, 22 October 2026</x:v>
      </x:c>
    </x:row>
  </x:sheetData>
  <x:mergeCells>
    <x:mergeCell ref="B12:D12"/>
    <x:mergeCell ref="E12:G12"/>
    <x:mergeCell ref="B13:D13"/>
    <x:mergeCell ref="E13:G13"/>
    <x:mergeCell ref="B14:D14"/>
    <x:mergeCell ref="E14:G14"/>
    <x:mergeCell ref="B15:D15"/>
    <x:mergeCell ref="E15:G15"/>
    <x:mergeCell ref="B16:D16"/>
    <x:mergeCell ref="E16:G16"/>
    <x:mergeCell ref="B17:D17"/>
    <x:mergeCell ref="E17:G17"/>
    <x:mergeCell ref="B18:D18"/>
    <x:mergeCell ref="E18:G18"/>
    <x:mergeCell ref="B19:D19"/>
    <x:mergeCell ref="E19:G19"/>
    <x:mergeCell ref="B20:D20"/>
    <x:mergeCell ref="E20:G20"/>
    <x:mergeCell ref="B21:D21"/>
    <x:mergeCell ref="E21:G21"/>
    <x:mergeCell ref="B22:D22"/>
    <x:mergeCell ref="E22:G22"/>
    <x:mergeCell ref="B23:D23"/>
    <x:mergeCell ref="E23:G23"/>
    <x:mergeCell ref="B24:D24"/>
    <x:mergeCell ref="E24:G24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B35:F35"/>
    <x:mergeCell ref="B36:F36"/>
    <x:mergeCell ref="B37:F37"/>
    <x:mergeCell ref="B38:F38"/>
  </x:mergeCells>
  <x:pageMargins left="0.7" right="0.7" top="0.75" bottom="0.75" header="0.3" footer="0.3"/>
</x:worksheet>
</file>