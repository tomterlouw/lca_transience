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louw_t\Documents\Projects\TRANSIENCE\lca_port_of_rotterdam\inventories\"/>
    </mc:Choice>
  </mc:AlternateContent>
  <xr:revisionPtr revIDLastSave="0" documentId="13_ncr:1_{56ABC2BB-D555-4DFF-9BA0-60795C53C555}" xr6:coauthVersionLast="47" xr6:coauthVersionMax="47" xr10:uidLastSave="{00000000-0000-0000-0000-000000000000}"/>
  <bookViews>
    <workbookView xWindow="28740" yWindow="-21600" windowWidth="26010" windowHeight="20985" xr2:uid="{084DE41E-2059-4B64-8760-3FAEBCB66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A13" i="1"/>
  <c r="D13" i="1"/>
  <c r="E13" i="1"/>
  <c r="H13" i="1"/>
  <c r="B47" i="1"/>
  <c r="B48" i="1" s="1"/>
  <c r="B52" i="1" l="1"/>
  <c r="B53" i="1" s="1"/>
  <c r="B51" i="1"/>
  <c r="B50" i="1"/>
  <c r="B49" i="1"/>
  <c r="B111" i="1"/>
  <c r="B112" i="1" s="1"/>
  <c r="L108" i="1"/>
  <c r="L89" i="1"/>
  <c r="B85" i="1" l="1"/>
  <c r="A142" i="1"/>
  <c r="A128" i="1"/>
  <c r="B110" i="1"/>
  <c r="B108" i="1"/>
  <c r="B107" i="1"/>
  <c r="B105" i="1"/>
  <c r="B104" i="1"/>
  <c r="B103" i="1"/>
  <c r="A102" i="1"/>
  <c r="B92" i="1"/>
  <c r="B91" i="1"/>
  <c r="B89" i="1"/>
  <c r="B88" i="1"/>
  <c r="B86" i="1"/>
  <c r="B84" i="1"/>
  <c r="A83" i="1"/>
  <c r="I71" i="1"/>
  <c r="B109" i="1" l="1"/>
  <c r="B90" i="1"/>
  <c r="B117" i="1"/>
  <c r="B118" i="1" s="1"/>
  <c r="B116" i="1"/>
  <c r="B115" i="1"/>
  <c r="B114" i="1"/>
  <c r="B113" i="1"/>
</calcChain>
</file>

<file path=xl/sharedStrings.xml><?xml version="1.0" encoding="utf-8"?>
<sst xmlns="http://schemas.openxmlformats.org/spreadsheetml/2006/main" count="1324" uniqueCount="203">
  <si>
    <t>database</t>
  </si>
  <si>
    <t>Activity</t>
  </si>
  <si>
    <t>location</t>
  </si>
  <si>
    <t>RER</t>
  </si>
  <si>
    <t>production amount</t>
  </si>
  <si>
    <t>reference product</t>
  </si>
  <si>
    <t>steel, low-alloyed</t>
  </si>
  <si>
    <t>type</t>
  </si>
  <si>
    <t>process</t>
  </si>
  <si>
    <t>unit</t>
  </si>
  <si>
    <t>kilogram</t>
  </si>
  <si>
    <t>source</t>
  </si>
  <si>
    <t>Ecoinvent 3.10 database + CO2 capture amount used from Zang, G., Sun, P., Elgowainy, A., Bobba, P., McMillan, C., Ma, O., ... &amp; Koleva, M. (2023). Cost and life cycle analysis for deep CO2 emissions reduction of steelmaking: Blast furnace-basic oxygen furnace and electric arc furnace technologies. International Journal of Greenhouse Gas Control, 128, 103958.</t>
  </si>
  <si>
    <t>description</t>
  </si>
  <si>
    <t>Geography:  Data are taken from basic oxygen furnace plants across Europe and are considered representative of the average situation across Europe. 
Technology:  Represents average European technology; LD converter and secondary metallurgy
Time period:  Data are mostly compiled from reports published between 2005 and 2010 but are considered representative of modern operations. 
The total CO2 captured from the BF-BOF baseline case is 1376 kg/MT steel, which, when compared with the total carbon emissions (1995 kg/MT) in the base case, implies a carbon capture ratio of 69% (Zang et al., 2023). 
2.0–4.0 GJ/tCO2 of thermal energy penalty high-temperature heat for desorbing CO2 (Zang et al., 2023).  MEA makeup to be 1 kg per ton captured CO2 to compensate the losses due to the thermal degradation of the amine only, as the evaporation of the amine in the absorber is prevented by a flash tank. We correct this value to 4 kg, to algin with other point source capture and DAC datasets (see other carbon dioxide capture datasets in premise). The electricity consumption for carbon capture and compression is estimated at 43 MJ/tCO2.</t>
  </si>
  <si>
    <t>Exchanges</t>
  </si>
  <si>
    <t>name</t>
  </si>
  <si>
    <t>amount</t>
  </si>
  <si>
    <t>categories</t>
  </si>
  <si>
    <t>ecoinvent_310_reference</t>
  </si>
  <si>
    <t>production</t>
  </si>
  <si>
    <t>market for blast oxygen furnace converter</t>
  </si>
  <si>
    <t>GLO</t>
  </si>
  <si>
    <t>technosphere</t>
  </si>
  <si>
    <t>blast oxygen furnace converter</t>
  </si>
  <si>
    <t>market for coke</t>
  </si>
  <si>
    <t>RoW</t>
  </si>
  <si>
    <t>megajoule</t>
  </si>
  <si>
    <t>coke</t>
  </si>
  <si>
    <t>market for compressed air, 600 kPa gauge</t>
  </si>
  <si>
    <t>cubic meter</t>
  </si>
  <si>
    <t>compressed air, 600 kPa gauge</t>
  </si>
  <si>
    <t>market for dolomite</t>
  </si>
  <si>
    <t>dolomite</t>
  </si>
  <si>
    <t>market group for electricity, medium voltage</t>
  </si>
  <si>
    <t>kilowatt hour</t>
  </si>
  <si>
    <t>electricity, medium voltage</t>
  </si>
  <si>
    <t>market for ferromanganese, high-coal, 74.5% Mn</t>
  </si>
  <si>
    <t>ferromanganese, high-coal, 74.5% Mn</t>
  </si>
  <si>
    <t>market for ferronickel</t>
  </si>
  <si>
    <t>ferronickel</t>
  </si>
  <si>
    <t>market for inert waste, for final disposal</t>
  </si>
  <si>
    <t>CH</t>
  </si>
  <si>
    <t>inert waste, for final disposal</t>
  </si>
  <si>
    <t>market for iron ore concentrate</t>
  </si>
  <si>
    <t>iron ore concentrate</t>
  </si>
  <si>
    <t>market for iron scrap, sorted, pressed</t>
  </si>
  <si>
    <t>iron scrap, sorted, pressed</t>
  </si>
  <si>
    <t>market for mill scale</t>
  </si>
  <si>
    <t>mill scale</t>
  </si>
  <si>
    <t>market for molybdenite</t>
  </si>
  <si>
    <t>molybdenite</t>
  </si>
  <si>
    <t>market for natural gas, high pressure</t>
  </si>
  <si>
    <t>natural gas, high pressure</t>
  </si>
  <si>
    <t>market group for natural gas, high pressure</t>
  </si>
  <si>
    <t>Europe without Switzerland</t>
  </si>
  <si>
    <t>market for oxygen, liquid</t>
  </si>
  <si>
    <t>oxygen, liquid</t>
  </si>
  <si>
    <t>market for pig iron</t>
  </si>
  <si>
    <t>pig iron</t>
  </si>
  <si>
    <t>market for quicklime, in pieces, loose</t>
  </si>
  <si>
    <t>quicklime, in pieces, loose</t>
  </si>
  <si>
    <t>market for wastewater from pig iron production</t>
  </si>
  <si>
    <t>wastewater from pig iron production</t>
  </si>
  <si>
    <t>Carbon dioxide, fossil</t>
  </si>
  <si>
    <t>biosphere3</t>
  </si>
  <si>
    <t>air</t>
  </si>
  <si>
    <t>biosphere</t>
  </si>
  <si>
    <t>Carbon monoxide, fossil</t>
  </si>
  <si>
    <t>Chromium III</t>
  </si>
  <si>
    <t>Copper ion</t>
  </si>
  <si>
    <t>Dioxins, measured as 2,3,7,8-tetrachlorodibenzo-p-dioxin</t>
  </si>
  <si>
    <t>Heat, waste</t>
  </si>
  <si>
    <t>Iron ion</t>
  </si>
  <si>
    <t>Lead II</t>
  </si>
  <si>
    <t>Manganese II</t>
  </si>
  <si>
    <t>Nitrogen oxides</t>
  </si>
  <si>
    <t>PAH, polycyclic aromatic hydrocarbons</t>
  </si>
  <si>
    <t>Particulate Matter, &lt; 2.5 um</t>
  </si>
  <si>
    <t>Water</t>
  </si>
  <si>
    <t>Water, cooling, unspecified natural origin</t>
  </si>
  <si>
    <t>natural resource::in water</t>
  </si>
  <si>
    <t>Carbon dioxide, in air</t>
  </si>
  <si>
    <t>natural resource::in air</t>
  </si>
  <si>
    <t>carbon dioxide compression, transport and storage</t>
  </si>
  <si>
    <t>carbon dioxide, stored</t>
  </si>
  <si>
    <t>heat production, natural gas, at industrial furnace &gt;100kW</t>
  </si>
  <si>
    <t>heat, district or industrial, natural gas</t>
  </si>
  <si>
    <t>market for monoethanolamine</t>
  </si>
  <si>
    <t>monoethanolamine</t>
  </si>
  <si>
    <t>MJ/tCO2</t>
  </si>
  <si>
    <t>market group for tap water</t>
  </si>
  <si>
    <t>tap water</t>
  </si>
  <si>
    <t>steel production, from hydrogen-based DRI</t>
  </si>
  <si>
    <t>comment</t>
  </si>
  <si>
    <t>Inventory from Rosner, F., Papadias, D., Brooks, K., Yoro, K., Ahluwalia, R., Autrey, T., &amp; Breunig, H. (2023). Green steel: design and cost analysis of hydrogen-based direct iron reduction. Energy &amp; Environmental Science, 16(10), 4121-4134.: https://www.rsc.org/suppdata/d3/ee/d3ee01077e/d3ee01077e1.pdf. Slag has been excluded as impact here since there is no matching ecoinvent activity.</t>
  </si>
  <si>
    <t>lci_biofuels_oil</t>
  </si>
  <si>
    <t>market for iron pellet</t>
  </si>
  <si>
    <t>cutoff310</t>
  </si>
  <si>
    <t>iron pellet</t>
  </si>
  <si>
    <t>hydrogen production, steam methane reforming</t>
  </si>
  <si>
    <t>hydrogen, gaseous, low pressure</t>
  </si>
  <si>
    <t>carbon black production</t>
  </si>
  <si>
    <t>carbon black</t>
  </si>
  <si>
    <t>market for limestone, crushed, washed</t>
  </si>
  <si>
    <t>limestone, crushed, washed</t>
  </si>
  <si>
    <t>market for water, deionised</t>
  </si>
  <si>
    <t>water, deionised</t>
  </si>
  <si>
    <t>water</t>
  </si>
  <si>
    <t>steel production, from natural gas-based DRI</t>
  </si>
  <si>
    <t>Inventory from Rosner, F., Papadias, D., Brooks, K., Yoro, K., Ahluwalia, R., Autrey, T., &amp; Breunig, H. (2023). Green steel: design and cost analysis of hydrogen-based direct iron reduction. Energy &amp; Environmental Science, 16(10), 4121-4134.: https://pubs.rsc.org/en/content/articlelanding/2023/ee/d3ee01077e &amp; SI: https://www.rsc.org/suppdata/d3/ee/d3ee01077e/d3ee01077e1.pdf. Slag has been excluded as impact here since there is no matching ecoinvent activity.</t>
  </si>
  <si>
    <t>steel production</t>
  </si>
  <si>
    <t>NG demadn</t>
  </si>
  <si>
    <t>NG</t>
  </si>
  <si>
    <t>Power</t>
  </si>
  <si>
    <t>steel production, from natural gas-based DRI, with CCS</t>
  </si>
  <si>
    <t>edm-i</t>
  </si>
  <si>
    <t>steel production, from molten oxide electrolysis</t>
  </si>
  <si>
    <t>To be included, full LCI…</t>
  </si>
  <si>
    <t>aluminium oxide production</t>
  </si>
  <si>
    <t>IAI Area, EU27 &amp; EFTA</t>
  </si>
  <si>
    <t>aluminium oxide, metallurgical</t>
  </si>
  <si>
    <t>steel production, from natural gas-based DRI, with CCS [2]</t>
  </si>
  <si>
    <t>steel</t>
  </si>
  <si>
    <t>MJ/m3</t>
  </si>
  <si>
    <t>market for basic oxygen furnace dust</t>
  </si>
  <si>
    <t>basic oxygen furnace dust</t>
  </si>
  <si>
    <t>market for basic oxygen furnace secondary metallurgy slag</t>
  </si>
  <si>
    <t>basic oxygen furnace secondary metallurgy slag</t>
  </si>
  <si>
    <t>market for basic oxygen furnace slag</t>
  </si>
  <si>
    <t>basic oxygen furnace slag</t>
  </si>
  <si>
    <t>market for basic oxygen furnace sludge</t>
  </si>
  <si>
    <t>basic oxygen furnace sludge</t>
  </si>
  <si>
    <t>steel production, converter, low-alloyed, primary, with CCS</t>
  </si>
  <si>
    <t>steel production, electric, low-alloyed, secondary steel, using scrap iron</t>
  </si>
  <si>
    <t>Europe without Switzerland and Austria</t>
  </si>
  <si>
    <t>no comment</t>
  </si>
  <si>
    <t>ecoinvent db 3.10</t>
  </si>
  <si>
    <t>market for anode, for metal electrolysis</t>
  </si>
  <si>
    <t>market for argon, liquid</t>
  </si>
  <si>
    <t>market for electric arc furnace dust</t>
  </si>
  <si>
    <t>market for electric arc furnace secondary metallurgy slag</t>
  </si>
  <si>
    <t>market for electric arc furnace slag</t>
  </si>
  <si>
    <t>market for electricity, medium voltage</t>
  </si>
  <si>
    <t>ME</t>
  </si>
  <si>
    <t>GI</t>
  </si>
  <si>
    <t>CZ</t>
  </si>
  <si>
    <t>GR</t>
  </si>
  <si>
    <t>IT</t>
  </si>
  <si>
    <t>UA</t>
  </si>
  <si>
    <t>XK</t>
  </si>
  <si>
    <t>EE</t>
  </si>
  <si>
    <t>BG</t>
  </si>
  <si>
    <t>LT</t>
  </si>
  <si>
    <t>BY</t>
  </si>
  <si>
    <t>MT</t>
  </si>
  <si>
    <t>LV</t>
  </si>
  <si>
    <t>MD</t>
  </si>
  <si>
    <t>HR</t>
  </si>
  <si>
    <t>RS</t>
  </si>
  <si>
    <t>GB</t>
  </si>
  <si>
    <t>BE</t>
  </si>
  <si>
    <t>NL</t>
  </si>
  <si>
    <t>BA</t>
  </si>
  <si>
    <t>PT</t>
  </si>
  <si>
    <t>MK</t>
  </si>
  <si>
    <t>FI</t>
  </si>
  <si>
    <t>SK</t>
  </si>
  <si>
    <t>FR</t>
  </si>
  <si>
    <t>SE</t>
  </si>
  <si>
    <t>SI</t>
  </si>
  <si>
    <t>IS</t>
  </si>
  <si>
    <t>ES</t>
  </si>
  <si>
    <t>PL</t>
  </si>
  <si>
    <t>RO</t>
  </si>
  <si>
    <t>HU</t>
  </si>
  <si>
    <t>DK</t>
  </si>
  <si>
    <t>DE</t>
  </si>
  <si>
    <t>LU</t>
  </si>
  <si>
    <t>IE</t>
  </si>
  <si>
    <t>NO</t>
  </si>
  <si>
    <t>AL</t>
  </si>
  <si>
    <t>market for ferrosilicon</t>
  </si>
  <si>
    <t>market for hard coal</t>
  </si>
  <si>
    <t>RU</t>
  </si>
  <si>
    <t>RoE</t>
  </si>
  <si>
    <t>market for nitrogen, liquid</t>
  </si>
  <si>
    <t>market for refractory, basic, packed</t>
  </si>
  <si>
    <t>Benzene</t>
  </si>
  <si>
    <t>Cadmium II</t>
  </si>
  <si>
    <t>Hexachlorobenzene</t>
  </si>
  <si>
    <t>Hydrocarbons, aromatic</t>
  </si>
  <si>
    <t>Hydrochloric acid</t>
  </si>
  <si>
    <t>Hydrogen fluoride</t>
  </si>
  <si>
    <t>Mercury II</t>
  </si>
  <si>
    <t>Nickel II</t>
  </si>
  <si>
    <t>Particulate Matter, &gt; 10 um</t>
  </si>
  <si>
    <t>Particulate Matter, &gt; 2.5 um and &lt; 10um</t>
  </si>
  <si>
    <t>Polychlorinated biphenyls</t>
  </si>
  <si>
    <t>Sulfur dioxide</t>
  </si>
  <si>
    <t>Zinc II</t>
  </si>
  <si>
    <t>steel production, converter, low-alloyed, only primary steel</t>
  </si>
  <si>
    <t>electric arc furnace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</si>
</sst>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11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164" fontId="3" fillId="2" borderId="0" xfId="0" applyNumberFormat="1" applyFont="1" applyFill="1"/>
    <xf numFmtId="0" fontId="4" fillId="2" borderId="0" xfId="0" applyFont="1" applyFill="1"/>
    <xf numFmtId="11" fontId="4" fillId="2" borderId="0" xfId="0" applyNumberFormat="1" applyFont="1" applyFill="1"/>
    <xf numFmtId="0" fontId="0" fillId="2" borderId="0" xfId="0" applyFill="1" applyAlignment="1">
      <alignment vertical="center" wrapText="1"/>
    </xf>
    <xf numFmtId="0" fontId="1" fillId="0" borderId="0" xfId="0" applyFont="1"/>
    <xf numFmtId="11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7FA2-6F21-4B57-BB65-ABD3C3DB4D73}">
  <dimension ref="A1:N315"/>
  <sheetViews>
    <sheetView tabSelected="1" topLeftCell="A139" zoomScale="85" zoomScaleNormal="85" workbookViewId="0">
      <selection activeCell="A159" sqref="A159"/>
    </sheetView>
  </sheetViews>
  <sheetFormatPr defaultRowHeight="14.4" x14ac:dyDescent="0.55000000000000004"/>
  <cols>
    <col min="1" max="1" width="50.3125" customWidth="1"/>
    <col min="2" max="2" width="12.41796875" customWidth="1"/>
    <col min="3" max="3" width="35.47265625" bestFit="1" customWidth="1"/>
    <col min="12" max="12" width="10.15625" bestFit="1" customWidth="1"/>
  </cols>
  <sheetData>
    <row r="1" spans="1:12" x14ac:dyDescent="0.55000000000000004">
      <c r="A1" t="s">
        <v>0</v>
      </c>
      <c r="B1" s="1" t="s">
        <v>123</v>
      </c>
    </row>
    <row r="2" spans="1:12" x14ac:dyDescent="0.55000000000000004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 x14ac:dyDescent="0.6">
      <c r="A3" s="4" t="s">
        <v>1</v>
      </c>
      <c r="B3" s="4" t="s">
        <v>133</v>
      </c>
    </row>
    <row r="4" spans="1:12" x14ac:dyDescent="0.55000000000000004">
      <c r="A4" t="s">
        <v>2</v>
      </c>
      <c r="B4" t="s">
        <v>3</v>
      </c>
    </row>
    <row r="5" spans="1:12" x14ac:dyDescent="0.55000000000000004">
      <c r="A5" t="s">
        <v>4</v>
      </c>
      <c r="B5">
        <v>1</v>
      </c>
    </row>
    <row r="6" spans="1:12" x14ac:dyDescent="0.55000000000000004">
      <c r="A6" t="s">
        <v>5</v>
      </c>
      <c r="B6" t="s">
        <v>6</v>
      </c>
    </row>
    <row r="7" spans="1:12" x14ac:dyDescent="0.55000000000000004">
      <c r="A7" t="s">
        <v>7</v>
      </c>
      <c r="B7" t="s">
        <v>8</v>
      </c>
    </row>
    <row r="8" spans="1:12" x14ac:dyDescent="0.55000000000000004">
      <c r="A8" t="s">
        <v>9</v>
      </c>
      <c r="B8" t="s">
        <v>10</v>
      </c>
    </row>
    <row r="9" spans="1:12" ht="26.7" customHeight="1" x14ac:dyDescent="0.55000000000000004">
      <c r="A9" t="s">
        <v>11</v>
      </c>
      <c r="B9" t="s">
        <v>12</v>
      </c>
    </row>
    <row r="10" spans="1:12" x14ac:dyDescent="0.55000000000000004">
      <c r="A10" t="s">
        <v>13</v>
      </c>
      <c r="B10" t="s">
        <v>14</v>
      </c>
    </row>
    <row r="11" spans="1:12" ht="15.6" x14ac:dyDescent="0.6">
      <c r="A11" s="4" t="s">
        <v>15</v>
      </c>
    </row>
    <row r="12" spans="1:12" x14ac:dyDescent="0.55000000000000004">
      <c r="A12" t="s">
        <v>16</v>
      </c>
      <c r="B12" t="s">
        <v>17</v>
      </c>
      <c r="C12" t="s">
        <v>0</v>
      </c>
      <c r="D12" t="s">
        <v>2</v>
      </c>
      <c r="E12" t="s">
        <v>9</v>
      </c>
      <c r="F12" t="s">
        <v>18</v>
      </c>
      <c r="G12" t="s">
        <v>7</v>
      </c>
      <c r="H12" t="s">
        <v>5</v>
      </c>
    </row>
    <row r="13" spans="1:12" x14ac:dyDescent="0.55000000000000004">
      <c r="A13" t="str">
        <f>B3</f>
        <v>steel production, converter, low-alloyed, primary, with CCS</v>
      </c>
      <c r="B13">
        <v>1</v>
      </c>
      <c r="C13" t="s">
        <v>19</v>
      </c>
      <c r="D13" t="str">
        <f>B4</f>
        <v>RER</v>
      </c>
      <c r="E13" t="str">
        <f>B8</f>
        <v>kilogram</v>
      </c>
      <c r="G13" t="s">
        <v>20</v>
      </c>
      <c r="H13" t="str">
        <f>B6</f>
        <v>steel, low-alloyed</v>
      </c>
    </row>
    <row r="14" spans="1:12" x14ac:dyDescent="0.55000000000000004">
      <c r="A14" t="s">
        <v>21</v>
      </c>
      <c r="B14" s="1">
        <v>1.3333000000000001E-11</v>
      </c>
      <c r="C14" t="s">
        <v>19</v>
      </c>
      <c r="D14" t="s">
        <v>22</v>
      </c>
      <c r="E14" t="s">
        <v>9</v>
      </c>
      <c r="G14" t="s">
        <v>23</v>
      </c>
      <c r="H14" t="s">
        <v>24</v>
      </c>
    </row>
    <row r="15" spans="1:12" x14ac:dyDescent="0.55000000000000004">
      <c r="A15" t="s">
        <v>25</v>
      </c>
      <c r="B15">
        <v>1.8321595661992301E-4</v>
      </c>
      <c r="C15" t="s">
        <v>19</v>
      </c>
      <c r="D15" t="s">
        <v>26</v>
      </c>
      <c r="E15" t="s">
        <v>27</v>
      </c>
      <c r="G15" t="s">
        <v>23</v>
      </c>
      <c r="H15" t="s">
        <v>28</v>
      </c>
    </row>
    <row r="16" spans="1:12" x14ac:dyDescent="0.55000000000000004">
      <c r="A16" t="s">
        <v>29</v>
      </c>
      <c r="B16">
        <v>1.4422205101856E-2</v>
      </c>
      <c r="C16" t="s">
        <v>19</v>
      </c>
      <c r="D16" t="s">
        <v>3</v>
      </c>
      <c r="E16" t="s">
        <v>30</v>
      </c>
      <c r="G16" t="s">
        <v>23</v>
      </c>
      <c r="H16" t="s">
        <v>31</v>
      </c>
    </row>
    <row r="17" spans="1:8" x14ac:dyDescent="0.55000000000000004">
      <c r="A17" t="s">
        <v>32</v>
      </c>
      <c r="B17">
        <v>4.4221766846903798E-3</v>
      </c>
      <c r="C17" t="s">
        <v>19</v>
      </c>
      <c r="D17" t="s">
        <v>3</v>
      </c>
      <c r="E17" t="s">
        <v>10</v>
      </c>
      <c r="G17" t="s">
        <v>23</v>
      </c>
      <c r="H17" t="s">
        <v>33</v>
      </c>
    </row>
    <row r="18" spans="1:8" x14ac:dyDescent="0.55000000000000004">
      <c r="A18" t="s">
        <v>34</v>
      </c>
      <c r="B18">
        <v>2.4152313898818101E-2</v>
      </c>
      <c r="C18" t="s">
        <v>19</v>
      </c>
      <c r="D18" t="s">
        <v>3</v>
      </c>
      <c r="E18" t="s">
        <v>35</v>
      </c>
      <c r="G18" t="s">
        <v>23</v>
      </c>
      <c r="H18" t="s">
        <v>36</v>
      </c>
    </row>
    <row r="19" spans="1:8" x14ac:dyDescent="0.55000000000000004">
      <c r="A19" t="s">
        <v>37</v>
      </c>
      <c r="B19">
        <v>1.5278E-2</v>
      </c>
      <c r="C19" t="s">
        <v>19</v>
      </c>
      <c r="D19" t="s">
        <v>22</v>
      </c>
      <c r="E19" t="s">
        <v>10</v>
      </c>
      <c r="G19" t="s">
        <v>23</v>
      </c>
      <c r="H19" t="s">
        <v>38</v>
      </c>
    </row>
    <row r="20" spans="1:8" x14ac:dyDescent="0.55000000000000004">
      <c r="A20" t="s">
        <v>39</v>
      </c>
      <c r="B20">
        <v>4.4999999999999998E-2</v>
      </c>
      <c r="C20" t="s">
        <v>19</v>
      </c>
      <c r="D20" t="s">
        <v>22</v>
      </c>
      <c r="E20" t="s">
        <v>10</v>
      </c>
      <c r="G20" t="s">
        <v>23</v>
      </c>
      <c r="H20" t="s">
        <v>40</v>
      </c>
    </row>
    <row r="21" spans="1:8" x14ac:dyDescent="0.55000000000000004">
      <c r="A21" t="s">
        <v>41</v>
      </c>
      <c r="B21">
        <v>-5.6568500000000002E-4</v>
      </c>
      <c r="C21" t="s">
        <v>19</v>
      </c>
      <c r="D21" t="s">
        <v>42</v>
      </c>
      <c r="E21" t="s">
        <v>10</v>
      </c>
      <c r="G21" t="s">
        <v>23</v>
      </c>
      <c r="H21" t="s">
        <v>43</v>
      </c>
    </row>
    <row r="22" spans="1:8" x14ac:dyDescent="0.55000000000000004">
      <c r="A22" t="s">
        <v>44</v>
      </c>
      <c r="B22">
        <v>6.2289646009589699E-4</v>
      </c>
      <c r="C22" t="s">
        <v>19</v>
      </c>
      <c r="D22" t="s">
        <v>22</v>
      </c>
      <c r="E22" t="s">
        <v>10</v>
      </c>
      <c r="G22" t="s">
        <v>23</v>
      </c>
      <c r="H22" t="s">
        <v>45</v>
      </c>
    </row>
    <row r="23" spans="1:8" x14ac:dyDescent="0.55000000000000004">
      <c r="A23" t="s">
        <v>46</v>
      </c>
      <c r="B23">
        <v>0</v>
      </c>
      <c r="C23" t="s">
        <v>19</v>
      </c>
      <c r="D23" t="s">
        <v>3</v>
      </c>
      <c r="E23" t="s">
        <v>10</v>
      </c>
      <c r="G23" t="s">
        <v>23</v>
      </c>
      <c r="H23" t="s">
        <v>47</v>
      </c>
    </row>
    <row r="24" spans="1:8" x14ac:dyDescent="0.55000000000000004">
      <c r="A24" t="s">
        <v>48</v>
      </c>
      <c r="B24" s="1">
        <v>-6.6299999999999999E-5</v>
      </c>
      <c r="C24" t="s">
        <v>19</v>
      </c>
      <c r="D24" t="s">
        <v>3</v>
      </c>
      <c r="E24" t="s">
        <v>10</v>
      </c>
      <c r="G24" t="s">
        <v>23</v>
      </c>
      <c r="H24" t="s">
        <v>49</v>
      </c>
    </row>
    <row r="25" spans="1:8" x14ac:dyDescent="0.55000000000000004">
      <c r="A25" t="s">
        <v>50</v>
      </c>
      <c r="B25">
        <v>5.9648999999999998E-4</v>
      </c>
      <c r="C25" t="s">
        <v>19</v>
      </c>
      <c r="D25" t="s">
        <v>22</v>
      </c>
      <c r="E25" t="s">
        <v>10</v>
      </c>
      <c r="G25" t="s">
        <v>23</v>
      </c>
      <c r="H25" t="s">
        <v>51</v>
      </c>
    </row>
    <row r="26" spans="1:8" x14ac:dyDescent="0.55000000000000004">
      <c r="A26" t="s">
        <v>52</v>
      </c>
      <c r="B26" s="1">
        <v>8.3241951376564305E-6</v>
      </c>
      <c r="C26" t="s">
        <v>19</v>
      </c>
      <c r="D26" t="s">
        <v>42</v>
      </c>
      <c r="E26" t="s">
        <v>30</v>
      </c>
      <c r="G26" t="s">
        <v>23</v>
      </c>
      <c r="H26" t="s">
        <v>53</v>
      </c>
    </row>
    <row r="27" spans="1:8" x14ac:dyDescent="0.55000000000000004">
      <c r="A27" t="s">
        <v>54</v>
      </c>
      <c r="B27">
        <v>1.19386159721207E-3</v>
      </c>
      <c r="C27" t="s">
        <v>19</v>
      </c>
      <c r="D27" t="s">
        <v>55</v>
      </c>
      <c r="E27" t="s">
        <v>30</v>
      </c>
      <c r="G27" t="s">
        <v>23</v>
      </c>
      <c r="H27" t="s">
        <v>53</v>
      </c>
    </row>
    <row r="28" spans="1:8" x14ac:dyDescent="0.55000000000000004">
      <c r="A28" t="s">
        <v>56</v>
      </c>
      <c r="B28">
        <v>7.8053996310246704E-2</v>
      </c>
      <c r="C28" t="s">
        <v>19</v>
      </c>
      <c r="D28" t="s">
        <v>3</v>
      </c>
      <c r="E28" t="s">
        <v>10</v>
      </c>
      <c r="G28" t="s">
        <v>23</v>
      </c>
      <c r="H28" t="s">
        <v>57</v>
      </c>
    </row>
    <row r="29" spans="1:8" x14ac:dyDescent="0.55000000000000004">
      <c r="A29" t="s">
        <v>58</v>
      </c>
      <c r="B29">
        <f>B298</f>
        <v>1.0668094029999999</v>
      </c>
      <c r="C29" t="s">
        <v>19</v>
      </c>
      <c r="D29" t="s">
        <v>3</v>
      </c>
      <c r="E29" t="s">
        <v>10</v>
      </c>
      <c r="G29" t="s">
        <v>23</v>
      </c>
      <c r="H29" t="s">
        <v>59</v>
      </c>
    </row>
    <row r="30" spans="1:8" x14ac:dyDescent="0.55000000000000004">
      <c r="A30" t="s">
        <v>60</v>
      </c>
      <c r="B30">
        <v>4.4833023542919799E-2</v>
      </c>
      <c r="C30" t="s">
        <v>19</v>
      </c>
      <c r="D30" t="s">
        <v>42</v>
      </c>
      <c r="E30" t="s">
        <v>10</v>
      </c>
      <c r="G30" t="s">
        <v>23</v>
      </c>
      <c r="H30" t="s">
        <v>61</v>
      </c>
    </row>
    <row r="31" spans="1:8" x14ac:dyDescent="0.55000000000000004">
      <c r="A31" t="s">
        <v>62</v>
      </c>
      <c r="B31" s="1">
        <v>-3.2890823640569998E-5</v>
      </c>
      <c r="C31" t="s">
        <v>19</v>
      </c>
      <c r="D31" t="s">
        <v>42</v>
      </c>
      <c r="E31" t="s">
        <v>30</v>
      </c>
      <c r="G31" t="s">
        <v>23</v>
      </c>
      <c r="H31" t="s">
        <v>63</v>
      </c>
    </row>
    <row r="32" spans="1:8" x14ac:dyDescent="0.55000000000000004">
      <c r="A32" t="s">
        <v>62</v>
      </c>
      <c r="B32">
        <v>-1.3087499628593E-3</v>
      </c>
      <c r="C32" t="s">
        <v>19</v>
      </c>
      <c r="D32" t="s">
        <v>55</v>
      </c>
      <c r="E32" t="s">
        <v>30</v>
      </c>
      <c r="G32" t="s">
        <v>23</v>
      </c>
      <c r="H32" t="s">
        <v>63</v>
      </c>
    </row>
    <row r="33" spans="1:11" x14ac:dyDescent="0.55000000000000004">
      <c r="A33" t="s">
        <v>64</v>
      </c>
      <c r="B33">
        <v>6.2708851049911599E-2</v>
      </c>
      <c r="C33" t="s">
        <v>65</v>
      </c>
      <c r="E33" t="s">
        <v>10</v>
      </c>
      <c r="F33" t="s">
        <v>66</v>
      </c>
      <c r="G33" t="s">
        <v>67</v>
      </c>
    </row>
    <row r="34" spans="1:11" x14ac:dyDescent="0.55000000000000004">
      <c r="A34" t="s">
        <v>68</v>
      </c>
      <c r="B34">
        <v>1.68214149226514E-3</v>
      </c>
      <c r="C34" t="s">
        <v>65</v>
      </c>
      <c r="E34" t="s">
        <v>10</v>
      </c>
      <c r="F34" t="s">
        <v>66</v>
      </c>
      <c r="G34" t="s">
        <v>67</v>
      </c>
    </row>
    <row r="35" spans="1:11" x14ac:dyDescent="0.55000000000000004">
      <c r="A35" t="s">
        <v>69</v>
      </c>
      <c r="B35" s="1">
        <v>2.7386127875258301E-8</v>
      </c>
      <c r="C35" t="s">
        <v>65</v>
      </c>
      <c r="E35" t="s">
        <v>10</v>
      </c>
      <c r="F35" t="s">
        <v>66</v>
      </c>
      <c r="G35" t="s">
        <v>67</v>
      </c>
    </row>
    <row r="36" spans="1:11" x14ac:dyDescent="0.55000000000000004">
      <c r="A36" s="6" t="s">
        <v>70</v>
      </c>
      <c r="B36" s="7">
        <v>1.3868418961177301E-7</v>
      </c>
      <c r="C36" s="6" t="s">
        <v>65</v>
      </c>
      <c r="D36" s="6"/>
      <c r="E36" s="6" t="s">
        <v>10</v>
      </c>
      <c r="F36" s="6" t="s">
        <v>66</v>
      </c>
      <c r="G36" s="6" t="s">
        <v>67</v>
      </c>
      <c r="H36" s="6"/>
    </row>
    <row r="37" spans="1:11" x14ac:dyDescent="0.55000000000000004">
      <c r="A37" s="6" t="s">
        <v>71</v>
      </c>
      <c r="B37" s="7">
        <v>6.3576725301009299E-14</v>
      </c>
      <c r="C37" s="6" t="s">
        <v>65</v>
      </c>
      <c r="D37" s="6"/>
      <c r="E37" s="6" t="s">
        <v>10</v>
      </c>
      <c r="F37" s="6" t="s">
        <v>66</v>
      </c>
      <c r="G37" s="6" t="s">
        <v>67</v>
      </c>
      <c r="H37" s="6"/>
    </row>
    <row r="38" spans="1:11" x14ac:dyDescent="0.55000000000000004">
      <c r="A38" s="6" t="s">
        <v>72</v>
      </c>
      <c r="B38" s="6">
        <v>0.204696179355145</v>
      </c>
      <c r="C38" s="6" t="s">
        <v>65</v>
      </c>
      <c r="D38" s="6"/>
      <c r="E38" s="6" t="s">
        <v>27</v>
      </c>
      <c r="F38" s="6" t="s">
        <v>66</v>
      </c>
      <c r="G38" s="6" t="s">
        <v>67</v>
      </c>
      <c r="H38" s="6"/>
    </row>
    <row r="39" spans="1:11" x14ac:dyDescent="0.55000000000000004">
      <c r="A39" s="6" t="s">
        <v>73</v>
      </c>
      <c r="B39" s="7">
        <v>4.1149999999999997E-5</v>
      </c>
      <c r="C39" s="6" t="s">
        <v>65</v>
      </c>
      <c r="D39" s="6"/>
      <c r="E39" s="6" t="s">
        <v>10</v>
      </c>
      <c r="F39" s="6" t="s">
        <v>66</v>
      </c>
      <c r="G39" s="6" t="s">
        <v>67</v>
      </c>
      <c r="H39" s="6"/>
    </row>
    <row r="40" spans="1:11" x14ac:dyDescent="0.55000000000000004">
      <c r="A40" s="6" t="s">
        <v>74</v>
      </c>
      <c r="B40" s="7">
        <v>4.08166632639171E-7</v>
      </c>
      <c r="C40" s="6" t="s">
        <v>65</v>
      </c>
      <c r="D40" s="6"/>
      <c r="E40" s="6" t="s">
        <v>10</v>
      </c>
      <c r="F40" s="6" t="s">
        <v>66</v>
      </c>
      <c r="G40" s="6" t="s">
        <v>67</v>
      </c>
      <c r="H40" s="6"/>
    </row>
    <row r="41" spans="1:11" x14ac:dyDescent="0.55000000000000004">
      <c r="A41" s="6" t="s">
        <v>75</v>
      </c>
      <c r="B41" s="7">
        <v>6.8410525505948304E-7</v>
      </c>
      <c r="C41" s="6" t="s">
        <v>65</v>
      </c>
      <c r="D41" s="6"/>
      <c r="E41" s="6" t="s">
        <v>10</v>
      </c>
      <c r="F41" s="6" t="s">
        <v>66</v>
      </c>
      <c r="G41" s="6" t="s">
        <v>67</v>
      </c>
      <c r="H41" s="6"/>
    </row>
    <row r="42" spans="1:11" x14ac:dyDescent="0.55000000000000004">
      <c r="A42" s="6" t="s">
        <v>76</v>
      </c>
      <c r="B42" s="7">
        <v>2.1236760581595299E-5</v>
      </c>
      <c r="C42" s="6" t="s">
        <v>65</v>
      </c>
      <c r="D42" s="6"/>
      <c r="E42" s="6" t="s">
        <v>10</v>
      </c>
      <c r="F42" s="6" t="s">
        <v>66</v>
      </c>
      <c r="G42" s="6" t="s">
        <v>67</v>
      </c>
      <c r="H42" s="6"/>
    </row>
    <row r="43" spans="1:11" x14ac:dyDescent="0.55000000000000004">
      <c r="A43" s="6" t="s">
        <v>77</v>
      </c>
      <c r="B43" s="7">
        <v>1E-8</v>
      </c>
      <c r="C43" s="6" t="s">
        <v>65</v>
      </c>
      <c r="D43" s="6"/>
      <c r="E43" s="6" t="s">
        <v>10</v>
      </c>
      <c r="F43" s="6" t="s">
        <v>66</v>
      </c>
      <c r="G43" s="6" t="s">
        <v>67</v>
      </c>
      <c r="H43" s="6"/>
    </row>
    <row r="44" spans="1:11" x14ac:dyDescent="0.55000000000000004">
      <c r="A44" s="6" t="s">
        <v>78</v>
      </c>
      <c r="B44" s="7">
        <v>4.47437146423942E-5</v>
      </c>
      <c r="C44" s="6" t="s">
        <v>65</v>
      </c>
      <c r="D44" s="6"/>
      <c r="E44" s="6" t="s">
        <v>10</v>
      </c>
      <c r="F44" s="6" t="s">
        <v>66</v>
      </c>
      <c r="G44" s="6" t="s">
        <v>67</v>
      </c>
      <c r="H44" s="6"/>
    </row>
    <row r="45" spans="1:11" x14ac:dyDescent="0.55000000000000004">
      <c r="A45" s="6" t="s">
        <v>79</v>
      </c>
      <c r="B45" s="6">
        <v>6.1184085870649701E-3</v>
      </c>
      <c r="C45" s="6" t="s">
        <v>65</v>
      </c>
      <c r="D45" s="6"/>
      <c r="E45" s="6" t="s">
        <v>30</v>
      </c>
      <c r="F45" s="6" t="s">
        <v>66</v>
      </c>
      <c r="G45" s="6" t="s">
        <v>67</v>
      </c>
      <c r="H45" s="6"/>
    </row>
    <row r="46" spans="1:11" x14ac:dyDescent="0.55000000000000004">
      <c r="A46" s="6" t="s">
        <v>80</v>
      </c>
      <c r="B46" s="6">
        <v>5.7758116312774596E-3</v>
      </c>
      <c r="C46" s="6" t="s">
        <v>65</v>
      </c>
      <c r="D46" s="6"/>
      <c r="E46" s="6" t="s">
        <v>30</v>
      </c>
      <c r="F46" s="6" t="s">
        <v>81</v>
      </c>
      <c r="G46" s="6" t="s">
        <v>67</v>
      </c>
      <c r="H46" s="6"/>
    </row>
    <row r="47" spans="1:11" x14ac:dyDescent="0.55000000000000004">
      <c r="A47" s="8" t="s">
        <v>82</v>
      </c>
      <c r="B47" s="9">
        <f>J47</f>
        <v>1</v>
      </c>
      <c r="C47" s="8" t="s">
        <v>65</v>
      </c>
      <c r="D47" s="8"/>
      <c r="E47" s="8" t="s">
        <v>10</v>
      </c>
      <c r="F47" s="8" t="s">
        <v>83</v>
      </c>
      <c r="G47" s="8" t="s">
        <v>67</v>
      </c>
      <c r="H47" s="8"/>
      <c r="J47">
        <v>1</v>
      </c>
      <c r="K47">
        <v>1.3759999999999999</v>
      </c>
    </row>
    <row r="48" spans="1:11" x14ac:dyDescent="0.55000000000000004">
      <c r="A48" s="8" t="s">
        <v>84</v>
      </c>
      <c r="B48" s="8">
        <f>B47</f>
        <v>1</v>
      </c>
      <c r="C48" s="8" t="s">
        <v>19</v>
      </c>
      <c r="D48" s="8" t="s">
        <v>3</v>
      </c>
      <c r="E48" s="8" t="s">
        <v>10</v>
      </c>
      <c r="F48" s="8"/>
      <c r="G48" s="8" t="s">
        <v>23</v>
      </c>
      <c r="H48" s="8" t="s">
        <v>85</v>
      </c>
    </row>
    <row r="49" spans="1:10" x14ac:dyDescent="0.55000000000000004">
      <c r="A49" s="8" t="s">
        <v>86</v>
      </c>
      <c r="B49" s="8">
        <f>B47*3</f>
        <v>3</v>
      </c>
      <c r="C49" s="8" t="s">
        <v>19</v>
      </c>
      <c r="D49" s="8" t="s">
        <v>55</v>
      </c>
      <c r="E49" s="8" t="s">
        <v>27</v>
      </c>
      <c r="F49" s="8"/>
      <c r="G49" s="8" t="s">
        <v>23</v>
      </c>
      <c r="H49" s="8" t="s">
        <v>87</v>
      </c>
    </row>
    <row r="50" spans="1:10" x14ac:dyDescent="0.55000000000000004">
      <c r="A50" s="8" t="s">
        <v>88</v>
      </c>
      <c r="B50" s="8">
        <f>B47*0.004</f>
        <v>4.0000000000000001E-3</v>
      </c>
      <c r="C50" s="8" t="s">
        <v>19</v>
      </c>
      <c r="D50" s="8" t="s">
        <v>22</v>
      </c>
      <c r="E50" s="8" t="s">
        <v>10</v>
      </c>
      <c r="F50" s="8"/>
      <c r="G50" s="8" t="s">
        <v>23</v>
      </c>
      <c r="H50" s="8" t="s">
        <v>89</v>
      </c>
    </row>
    <row r="51" spans="1:10" x14ac:dyDescent="0.55000000000000004">
      <c r="A51" s="8" t="s">
        <v>34</v>
      </c>
      <c r="B51" s="10">
        <f>B47*I51/1000/3.6</f>
        <v>1.1944444444444443E-2</v>
      </c>
      <c r="C51" s="8" t="s">
        <v>19</v>
      </c>
      <c r="D51" s="8" t="s">
        <v>3</v>
      </c>
      <c r="E51" s="8" t="s">
        <v>35</v>
      </c>
      <c r="F51" s="8"/>
      <c r="G51" s="8" t="s">
        <v>23</v>
      </c>
      <c r="H51" s="8" t="s">
        <v>36</v>
      </c>
      <c r="I51">
        <v>43</v>
      </c>
      <c r="J51" s="8" t="s">
        <v>90</v>
      </c>
    </row>
    <row r="52" spans="1:10" x14ac:dyDescent="0.55000000000000004">
      <c r="A52" s="11" t="s">
        <v>91</v>
      </c>
      <c r="B52" s="12">
        <f>0.473*B47</f>
        <v>0.47299999999999998</v>
      </c>
      <c r="C52" s="8" t="s">
        <v>19</v>
      </c>
      <c r="D52" s="11" t="s">
        <v>22</v>
      </c>
      <c r="E52" s="11" t="s">
        <v>10</v>
      </c>
      <c r="F52" s="8"/>
      <c r="G52" s="11" t="s">
        <v>23</v>
      </c>
      <c r="H52" s="11" t="s">
        <v>92</v>
      </c>
    </row>
    <row r="53" spans="1:10" x14ac:dyDescent="0.55000000000000004">
      <c r="A53" s="11" t="s">
        <v>79</v>
      </c>
      <c r="B53" s="12">
        <f>B52/1000</f>
        <v>4.7299999999999995E-4</v>
      </c>
      <c r="C53" s="8" t="s">
        <v>65</v>
      </c>
      <c r="D53" s="8"/>
      <c r="E53" s="11" t="s">
        <v>30</v>
      </c>
      <c r="F53" s="11" t="s">
        <v>66</v>
      </c>
      <c r="G53" s="11" t="s">
        <v>67</v>
      </c>
      <c r="H53" s="11"/>
    </row>
    <row r="55" spans="1:10" ht="15.6" x14ac:dyDescent="0.6">
      <c r="A55" s="4" t="s">
        <v>1</v>
      </c>
      <c r="B55" s="4" t="s">
        <v>93</v>
      </c>
    </row>
    <row r="56" spans="1:10" ht="409.5" x14ac:dyDescent="0.55000000000000004">
      <c r="A56" t="s">
        <v>94</v>
      </c>
      <c r="B56" s="5" t="s">
        <v>95</v>
      </c>
    </row>
    <row r="57" spans="1:10" x14ac:dyDescent="0.55000000000000004">
      <c r="A57" t="s">
        <v>2</v>
      </c>
      <c r="B57" t="s">
        <v>22</v>
      </c>
    </row>
    <row r="58" spans="1:10" ht="34.5" customHeight="1" x14ac:dyDescent="0.55000000000000004">
      <c r="A58" t="s">
        <v>5</v>
      </c>
      <c r="B58" t="s">
        <v>6</v>
      </c>
    </row>
    <row r="59" spans="1:10" x14ac:dyDescent="0.55000000000000004">
      <c r="A59" t="s">
        <v>7</v>
      </c>
      <c r="B59" t="s">
        <v>8</v>
      </c>
    </row>
    <row r="60" spans="1:10" x14ac:dyDescent="0.55000000000000004">
      <c r="A60" t="s">
        <v>9</v>
      </c>
      <c r="B60" t="s">
        <v>10</v>
      </c>
    </row>
    <row r="61" spans="1:10" ht="15.6" x14ac:dyDescent="0.6">
      <c r="A61" s="4" t="s">
        <v>15</v>
      </c>
    </row>
    <row r="62" spans="1:10" x14ac:dyDescent="0.55000000000000004">
      <c r="A62" t="s">
        <v>16</v>
      </c>
      <c r="B62" t="s">
        <v>17</v>
      </c>
      <c r="C62" t="s">
        <v>0</v>
      </c>
      <c r="D62" t="s">
        <v>2</v>
      </c>
      <c r="E62" t="s">
        <v>9</v>
      </c>
      <c r="F62" t="s">
        <v>7</v>
      </c>
      <c r="G62" t="s">
        <v>18</v>
      </c>
      <c r="H62" t="s">
        <v>5</v>
      </c>
    </row>
    <row r="63" spans="1:10" x14ac:dyDescent="0.55000000000000004">
      <c r="A63" t="s">
        <v>93</v>
      </c>
      <c r="B63">
        <v>1</v>
      </c>
      <c r="C63" t="s">
        <v>96</v>
      </c>
      <c r="D63" t="s">
        <v>22</v>
      </c>
      <c r="E63" t="s">
        <v>10</v>
      </c>
      <c r="F63" t="s">
        <v>20</v>
      </c>
      <c r="H63" t="s">
        <v>6</v>
      </c>
    </row>
    <row r="64" spans="1:10" x14ac:dyDescent="0.55000000000000004">
      <c r="A64" t="s">
        <v>97</v>
      </c>
      <c r="B64">
        <v>1.6292666276574994</v>
      </c>
      <c r="C64" t="s">
        <v>98</v>
      </c>
      <c r="D64" t="s">
        <v>22</v>
      </c>
      <c r="E64" t="s">
        <v>10</v>
      </c>
      <c r="F64" t="s">
        <v>23</v>
      </c>
      <c r="H64" t="s">
        <v>99</v>
      </c>
    </row>
    <row r="65" spans="1:9" x14ac:dyDescent="0.55000000000000004">
      <c r="A65" t="s">
        <v>100</v>
      </c>
      <c r="B65">
        <v>6.6967649162259016E-2</v>
      </c>
      <c r="C65" t="s">
        <v>98</v>
      </c>
      <c r="D65" t="s">
        <v>26</v>
      </c>
      <c r="E65" t="s">
        <v>10</v>
      </c>
      <c r="F65" t="s">
        <v>23</v>
      </c>
      <c r="H65" t="s">
        <v>101</v>
      </c>
    </row>
    <row r="66" spans="1:9" x14ac:dyDescent="0.55000000000000004">
      <c r="A66" t="s">
        <v>52</v>
      </c>
      <c r="B66">
        <v>2.6579703951016727E-2</v>
      </c>
      <c r="C66" t="s">
        <v>98</v>
      </c>
      <c r="D66" t="s">
        <v>26</v>
      </c>
      <c r="E66" t="s">
        <v>30</v>
      </c>
      <c r="F66" t="s">
        <v>23</v>
      </c>
      <c r="H66" t="s">
        <v>53</v>
      </c>
    </row>
    <row r="67" spans="1:9" x14ac:dyDescent="0.55000000000000004">
      <c r="A67" t="s">
        <v>34</v>
      </c>
      <c r="B67">
        <v>0.55050061764514657</v>
      </c>
      <c r="C67" t="s">
        <v>98</v>
      </c>
      <c r="D67" t="s">
        <v>3</v>
      </c>
      <c r="E67" t="s">
        <v>35</v>
      </c>
      <c r="F67" t="s">
        <v>23</v>
      </c>
      <c r="H67" t="s">
        <v>36</v>
      </c>
    </row>
    <row r="68" spans="1:9" x14ac:dyDescent="0.55000000000000004">
      <c r="A68" t="s">
        <v>102</v>
      </c>
      <c r="B68">
        <v>3.395231702979612E-2</v>
      </c>
      <c r="C68" t="s">
        <v>98</v>
      </c>
      <c r="D68" t="s">
        <v>22</v>
      </c>
      <c r="E68" t="s">
        <v>10</v>
      </c>
      <c r="F68" t="s">
        <v>23</v>
      </c>
      <c r="H68" t="s">
        <v>103</v>
      </c>
    </row>
    <row r="69" spans="1:9" x14ac:dyDescent="0.55000000000000004">
      <c r="A69" t="s">
        <v>104</v>
      </c>
      <c r="B69">
        <v>5.1187102498498914E-2</v>
      </c>
      <c r="C69" t="s">
        <v>98</v>
      </c>
      <c r="D69" t="s">
        <v>26</v>
      </c>
      <c r="E69" t="s">
        <v>10</v>
      </c>
      <c r="F69" t="s">
        <v>23</v>
      </c>
      <c r="H69" t="s">
        <v>105</v>
      </c>
    </row>
    <row r="70" spans="1:9" x14ac:dyDescent="0.55000000000000004">
      <c r="A70" t="s">
        <v>106</v>
      </c>
      <c r="B70">
        <v>1.2044883488796339</v>
      </c>
      <c r="C70" t="s">
        <v>98</v>
      </c>
      <c r="D70" t="s">
        <v>26</v>
      </c>
      <c r="E70" t="s">
        <v>10</v>
      </c>
      <c r="F70" t="s">
        <v>23</v>
      </c>
      <c r="H70" t="s">
        <v>107</v>
      </c>
    </row>
    <row r="71" spans="1:9" x14ac:dyDescent="0.55000000000000004">
      <c r="A71" t="s">
        <v>79</v>
      </c>
      <c r="B71">
        <v>7.6588093790276016E-4</v>
      </c>
      <c r="C71" t="s">
        <v>65</v>
      </c>
      <c r="E71" t="s">
        <v>30</v>
      </c>
      <c r="F71" t="s">
        <v>67</v>
      </c>
      <c r="G71" t="s">
        <v>66</v>
      </c>
      <c r="I71">
        <f>B71/(B71+B72)</f>
        <v>0.63585582925326889</v>
      </c>
    </row>
    <row r="72" spans="1:9" x14ac:dyDescent="0.55000000000000004">
      <c r="A72" t="s">
        <v>79</v>
      </c>
      <c r="B72">
        <v>4.3860741097687366E-4</v>
      </c>
      <c r="C72" t="s">
        <v>65</v>
      </c>
      <c r="E72" t="s">
        <v>30</v>
      </c>
      <c r="F72" t="s">
        <v>67</v>
      </c>
      <c r="G72" t="s">
        <v>108</v>
      </c>
    </row>
    <row r="73" spans="1:9" x14ac:dyDescent="0.55000000000000004">
      <c r="A73" t="s">
        <v>64</v>
      </c>
      <c r="B73">
        <v>0.16013549948943884</v>
      </c>
      <c r="C73" t="s">
        <v>65</v>
      </c>
      <c r="E73" t="s">
        <v>10</v>
      </c>
      <c r="F73" t="s">
        <v>67</v>
      </c>
      <c r="G73" t="s">
        <v>66</v>
      </c>
    </row>
    <row r="74" spans="1:9" x14ac:dyDescent="0.55000000000000004">
      <c r="B74" s="1"/>
    </row>
    <row r="75" spans="1:9" ht="15.6" x14ac:dyDescent="0.6">
      <c r="A75" s="4" t="s">
        <v>1</v>
      </c>
      <c r="B75" s="4" t="s">
        <v>109</v>
      </c>
    </row>
    <row r="76" spans="1:9" ht="409.5" x14ac:dyDescent="0.55000000000000004">
      <c r="A76" t="s">
        <v>94</v>
      </c>
      <c r="B76" s="5" t="s">
        <v>110</v>
      </c>
    </row>
    <row r="77" spans="1:9" x14ac:dyDescent="0.55000000000000004">
      <c r="A77" t="s">
        <v>2</v>
      </c>
      <c r="B77" t="s">
        <v>22</v>
      </c>
    </row>
    <row r="78" spans="1:9" x14ac:dyDescent="0.55000000000000004">
      <c r="A78" t="s">
        <v>5</v>
      </c>
      <c r="B78" t="s">
        <v>6</v>
      </c>
    </row>
    <row r="79" spans="1:9" x14ac:dyDescent="0.55000000000000004">
      <c r="A79" t="s">
        <v>7</v>
      </c>
      <c r="B79" t="s">
        <v>8</v>
      </c>
    </row>
    <row r="80" spans="1:9" x14ac:dyDescent="0.55000000000000004">
      <c r="A80" t="s">
        <v>9</v>
      </c>
      <c r="B80" t="s">
        <v>10</v>
      </c>
    </row>
    <row r="81" spans="1:14" ht="15.6" x14ac:dyDescent="0.6">
      <c r="A81" s="4" t="s">
        <v>15</v>
      </c>
    </row>
    <row r="82" spans="1:14" x14ac:dyDescent="0.55000000000000004">
      <c r="A82" t="s">
        <v>16</v>
      </c>
      <c r="B82" t="s">
        <v>17</v>
      </c>
      <c r="C82" t="s">
        <v>0</v>
      </c>
      <c r="D82" t="s">
        <v>2</v>
      </c>
      <c r="E82" t="s">
        <v>9</v>
      </c>
      <c r="F82" t="s">
        <v>7</v>
      </c>
      <c r="G82" t="s">
        <v>18</v>
      </c>
      <c r="H82" t="s">
        <v>5</v>
      </c>
    </row>
    <row r="83" spans="1:14" x14ac:dyDescent="0.55000000000000004">
      <c r="A83" t="str">
        <f>B75</f>
        <v>steel production, from natural gas-based DRI</v>
      </c>
      <c r="B83">
        <v>1</v>
      </c>
      <c r="C83" t="s">
        <v>96</v>
      </c>
      <c r="D83" t="s">
        <v>22</v>
      </c>
      <c r="E83" t="s">
        <v>10</v>
      </c>
      <c r="F83" t="s">
        <v>20</v>
      </c>
      <c r="H83" t="s">
        <v>6</v>
      </c>
    </row>
    <row r="84" spans="1:14" x14ac:dyDescent="0.55000000000000004">
      <c r="A84" t="s">
        <v>97</v>
      </c>
      <c r="B84">
        <f>1704001/L84</f>
        <v>1.6292073490211376</v>
      </c>
      <c r="C84" t="s">
        <v>98</v>
      </c>
      <c r="D84" t="s">
        <v>22</v>
      </c>
      <c r="E84" t="s">
        <v>10</v>
      </c>
      <c r="F84" t="s">
        <v>23</v>
      </c>
      <c r="H84" t="s">
        <v>99</v>
      </c>
      <c r="K84" t="s">
        <v>111</v>
      </c>
      <c r="L84">
        <v>1045908</v>
      </c>
    </row>
    <row r="85" spans="1:14" x14ac:dyDescent="0.55000000000000004">
      <c r="A85" t="s">
        <v>52</v>
      </c>
      <c r="B85">
        <f>L89/(L84*1000)</f>
        <v>2.6579703951016723E-2</v>
      </c>
      <c r="C85" t="s">
        <v>98</v>
      </c>
      <c r="D85" t="s">
        <v>26</v>
      </c>
      <c r="E85" t="s">
        <v>30</v>
      </c>
      <c r="F85" t="s">
        <v>23</v>
      </c>
      <c r="H85" t="s">
        <v>53</v>
      </c>
    </row>
    <row r="86" spans="1:14" x14ac:dyDescent="0.55000000000000004">
      <c r="A86" t="s">
        <v>34</v>
      </c>
      <c r="B86">
        <f>L90/L84</f>
        <v>0.57984163043020998</v>
      </c>
      <c r="C86" t="s">
        <v>98</v>
      </c>
      <c r="D86" t="s">
        <v>3</v>
      </c>
      <c r="E86" t="s">
        <v>35</v>
      </c>
      <c r="F86" t="s">
        <v>23</v>
      </c>
      <c r="H86" t="s">
        <v>36</v>
      </c>
    </row>
    <row r="87" spans="1:14" x14ac:dyDescent="0.55000000000000004">
      <c r="A87" t="s">
        <v>102</v>
      </c>
      <c r="B87">
        <v>3.395231702979612E-2</v>
      </c>
      <c r="C87" t="s">
        <v>98</v>
      </c>
      <c r="D87" t="s">
        <v>22</v>
      </c>
      <c r="E87" t="s">
        <v>10</v>
      </c>
      <c r="F87" t="s">
        <v>23</v>
      </c>
      <c r="H87" t="s">
        <v>103</v>
      </c>
      <c r="K87" t="s">
        <v>112</v>
      </c>
      <c r="L87">
        <v>11359188</v>
      </c>
    </row>
    <row r="88" spans="1:14" x14ac:dyDescent="0.55000000000000004">
      <c r="A88" t="s">
        <v>104</v>
      </c>
      <c r="B88">
        <f>29355/L84</f>
        <v>2.8066522103282508E-2</v>
      </c>
      <c r="C88" t="s">
        <v>98</v>
      </c>
      <c r="D88" t="s">
        <v>26</v>
      </c>
      <c r="E88" t="s">
        <v>10</v>
      </c>
      <c r="F88" t="s">
        <v>23</v>
      </c>
      <c r="H88" t="s">
        <v>105</v>
      </c>
      <c r="K88" t="s">
        <v>113</v>
      </c>
      <c r="L88" s="16">
        <v>1111997</v>
      </c>
    </row>
    <row r="89" spans="1:14" x14ac:dyDescent="0.55000000000000004">
      <c r="A89" t="s">
        <v>106</v>
      </c>
      <c r="B89">
        <f>1336953/L84</f>
        <v>1.2782701729023969</v>
      </c>
      <c r="C89" t="s">
        <v>98</v>
      </c>
      <c r="D89" t="s">
        <v>26</v>
      </c>
      <c r="E89" t="s">
        <v>10</v>
      </c>
      <c r="F89" t="s">
        <v>23</v>
      </c>
      <c r="H89" t="s">
        <v>107</v>
      </c>
      <c r="K89" t="s">
        <v>113</v>
      </c>
      <c r="L89">
        <f>L88*1000/M89</f>
        <v>27799925</v>
      </c>
      <c r="M89">
        <v>40</v>
      </c>
      <c r="N89" t="s">
        <v>124</v>
      </c>
    </row>
    <row r="90" spans="1:14" x14ac:dyDescent="0.55000000000000004">
      <c r="A90" t="s">
        <v>79</v>
      </c>
      <c r="B90">
        <f>(B89/1000)-B91</f>
        <v>9.2174837557414233E-4</v>
      </c>
      <c r="C90" t="s">
        <v>65</v>
      </c>
      <c r="E90" t="s">
        <v>30</v>
      </c>
      <c r="F90" t="s">
        <v>67</v>
      </c>
      <c r="G90" t="s">
        <v>66</v>
      </c>
      <c r="K90" t="s">
        <v>114</v>
      </c>
      <c r="L90">
        <v>606461</v>
      </c>
    </row>
    <row r="91" spans="1:14" x14ac:dyDescent="0.55000000000000004">
      <c r="A91" t="s">
        <v>79</v>
      </c>
      <c r="B91">
        <f>372889/L84/1000</f>
        <v>3.5652179732825452E-4</v>
      </c>
      <c r="C91" t="s">
        <v>65</v>
      </c>
      <c r="E91" t="s">
        <v>30</v>
      </c>
      <c r="F91" t="s">
        <v>67</v>
      </c>
      <c r="G91" t="s">
        <v>108</v>
      </c>
    </row>
    <row r="92" spans="1:14" x14ac:dyDescent="0.55000000000000004">
      <c r="A92" t="s">
        <v>64</v>
      </c>
      <c r="B92">
        <f>706351/L84</f>
        <v>0.67534716246553239</v>
      </c>
      <c r="C92" t="s">
        <v>65</v>
      </c>
      <c r="E92" t="s">
        <v>10</v>
      </c>
      <c r="F92" t="s">
        <v>67</v>
      </c>
      <c r="G92" t="s">
        <v>66</v>
      </c>
    </row>
    <row r="93" spans="1:14" x14ac:dyDescent="0.55000000000000004">
      <c r="B93" s="1"/>
    </row>
    <row r="94" spans="1:14" ht="15.6" x14ac:dyDescent="0.6">
      <c r="A94" s="4" t="s">
        <v>1</v>
      </c>
      <c r="B94" s="4" t="s">
        <v>115</v>
      </c>
    </row>
    <row r="95" spans="1:14" ht="409.5" x14ac:dyDescent="0.55000000000000004">
      <c r="A95" t="s">
        <v>94</v>
      </c>
      <c r="B95" s="5" t="s">
        <v>110</v>
      </c>
    </row>
    <row r="96" spans="1:14" x14ac:dyDescent="0.55000000000000004">
      <c r="A96" t="s">
        <v>2</v>
      </c>
      <c r="B96" t="s">
        <v>22</v>
      </c>
    </row>
    <row r="97" spans="1:12" x14ac:dyDescent="0.55000000000000004">
      <c r="A97" t="s">
        <v>5</v>
      </c>
      <c r="B97" t="s">
        <v>6</v>
      </c>
    </row>
    <row r="98" spans="1:12" x14ac:dyDescent="0.55000000000000004">
      <c r="A98" t="s">
        <v>7</v>
      </c>
      <c r="B98" t="s">
        <v>8</v>
      </c>
    </row>
    <row r="99" spans="1:12" x14ac:dyDescent="0.55000000000000004">
      <c r="A99" t="s">
        <v>9</v>
      </c>
      <c r="B99" t="s">
        <v>10</v>
      </c>
    </row>
    <row r="100" spans="1:12" ht="15.6" x14ac:dyDescent="0.6">
      <c r="A100" s="4" t="s">
        <v>15</v>
      </c>
    </row>
    <row r="101" spans="1:12" x14ac:dyDescent="0.55000000000000004">
      <c r="A101" t="s">
        <v>16</v>
      </c>
      <c r="B101" t="s">
        <v>17</v>
      </c>
      <c r="C101" t="s">
        <v>0</v>
      </c>
      <c r="D101" t="s">
        <v>2</v>
      </c>
      <c r="E101" t="s">
        <v>9</v>
      </c>
      <c r="F101" t="s">
        <v>7</v>
      </c>
      <c r="G101" t="s">
        <v>18</v>
      </c>
      <c r="H101" t="s">
        <v>5</v>
      </c>
    </row>
    <row r="102" spans="1:12" x14ac:dyDescent="0.55000000000000004">
      <c r="A102" t="str">
        <f>B94</f>
        <v>steel production, from natural gas-based DRI, with CCS</v>
      </c>
      <c r="B102">
        <v>1</v>
      </c>
      <c r="C102" t="s">
        <v>116</v>
      </c>
      <c r="D102" t="s">
        <v>22</v>
      </c>
      <c r="E102" t="s">
        <v>10</v>
      </c>
      <c r="F102" t="s">
        <v>20</v>
      </c>
      <c r="H102" t="s">
        <v>6</v>
      </c>
    </row>
    <row r="103" spans="1:12" x14ac:dyDescent="0.55000000000000004">
      <c r="A103" t="s">
        <v>97</v>
      </c>
      <c r="B103">
        <f>1704001/L103</f>
        <v>1.6292073490211376</v>
      </c>
      <c r="C103" t="s">
        <v>98</v>
      </c>
      <c r="D103" t="s">
        <v>22</v>
      </c>
      <c r="E103" t="s">
        <v>10</v>
      </c>
      <c r="F103" t="s">
        <v>23</v>
      </c>
      <c r="H103" t="s">
        <v>99</v>
      </c>
      <c r="K103" t="s">
        <v>111</v>
      </c>
      <c r="L103">
        <v>1045908</v>
      </c>
    </row>
    <row r="104" spans="1:12" ht="24" customHeight="1" x14ac:dyDescent="0.55000000000000004">
      <c r="A104" t="s">
        <v>52</v>
      </c>
      <c r="B104">
        <f>L108/(L103*1000)</f>
        <v>2.6579703951016723E-2</v>
      </c>
      <c r="C104" t="s">
        <v>98</v>
      </c>
      <c r="D104" t="s">
        <v>26</v>
      </c>
      <c r="E104" t="s">
        <v>30</v>
      </c>
      <c r="F104" t="s">
        <v>23</v>
      </c>
      <c r="H104" t="s">
        <v>53</v>
      </c>
    </row>
    <row r="105" spans="1:12" x14ac:dyDescent="0.55000000000000004">
      <c r="A105" t="s">
        <v>34</v>
      </c>
      <c r="B105">
        <f>L109/L103</f>
        <v>0.57984163043020998</v>
      </c>
      <c r="C105" t="s">
        <v>98</v>
      </c>
      <c r="D105" t="s">
        <v>3</v>
      </c>
      <c r="E105" t="s">
        <v>35</v>
      </c>
      <c r="F105" t="s">
        <v>23</v>
      </c>
      <c r="H105" t="s">
        <v>36</v>
      </c>
    </row>
    <row r="106" spans="1:12" x14ac:dyDescent="0.55000000000000004">
      <c r="A106" t="s">
        <v>102</v>
      </c>
      <c r="B106">
        <v>3.395231702979612E-2</v>
      </c>
      <c r="C106" t="s">
        <v>98</v>
      </c>
      <c r="D106" t="s">
        <v>22</v>
      </c>
      <c r="E106" t="s">
        <v>10</v>
      </c>
      <c r="F106" t="s">
        <v>23</v>
      </c>
      <c r="H106" t="s">
        <v>103</v>
      </c>
      <c r="K106" t="s">
        <v>112</v>
      </c>
      <c r="L106">
        <v>11359188</v>
      </c>
    </row>
    <row r="107" spans="1:12" x14ac:dyDescent="0.55000000000000004">
      <c r="A107" t="s">
        <v>104</v>
      </c>
      <c r="B107">
        <f>29355/L103</f>
        <v>2.8066522103282508E-2</v>
      </c>
      <c r="C107" t="s">
        <v>98</v>
      </c>
      <c r="D107" t="s">
        <v>26</v>
      </c>
      <c r="E107" t="s">
        <v>10</v>
      </c>
      <c r="F107" t="s">
        <v>23</v>
      </c>
      <c r="H107" t="s">
        <v>105</v>
      </c>
      <c r="K107" t="s">
        <v>113</v>
      </c>
      <c r="L107">
        <v>1111997</v>
      </c>
    </row>
    <row r="108" spans="1:12" x14ac:dyDescent="0.55000000000000004">
      <c r="A108" t="s">
        <v>106</v>
      </c>
      <c r="B108">
        <f>1336953/L103</f>
        <v>1.2782701729023969</v>
      </c>
      <c r="C108" t="s">
        <v>98</v>
      </c>
      <c r="D108" t="s">
        <v>26</v>
      </c>
      <c r="E108" t="s">
        <v>10</v>
      </c>
      <c r="F108" t="s">
        <v>23</v>
      </c>
      <c r="H108" t="s">
        <v>107</v>
      </c>
      <c r="K108" t="s">
        <v>113</v>
      </c>
      <c r="L108">
        <f>L107*1000/M89</f>
        <v>27799925</v>
      </c>
    </row>
    <row r="109" spans="1:12" x14ac:dyDescent="0.55000000000000004">
      <c r="A109" t="s">
        <v>79</v>
      </c>
      <c r="B109">
        <f>(B108/1000)-B110</f>
        <v>9.2174837557414233E-4</v>
      </c>
      <c r="C109" t="s">
        <v>65</v>
      </c>
      <c r="E109" t="s">
        <v>30</v>
      </c>
      <c r="F109" t="s">
        <v>67</v>
      </c>
      <c r="G109" t="s">
        <v>66</v>
      </c>
      <c r="K109" t="s">
        <v>114</v>
      </c>
      <c r="L109">
        <v>606461</v>
      </c>
    </row>
    <row r="110" spans="1:12" x14ac:dyDescent="0.55000000000000004">
      <c r="A110" t="s">
        <v>79</v>
      </c>
      <c r="B110">
        <f>372889/L103/1000</f>
        <v>3.5652179732825452E-4</v>
      </c>
      <c r="C110" t="s">
        <v>65</v>
      </c>
      <c r="E110" t="s">
        <v>30</v>
      </c>
      <c r="F110" t="s">
        <v>67</v>
      </c>
      <c r="G110" t="s">
        <v>108</v>
      </c>
    </row>
    <row r="111" spans="1:12" x14ac:dyDescent="0.55000000000000004">
      <c r="A111" t="s">
        <v>64</v>
      </c>
      <c r="B111">
        <f>706351/L103</f>
        <v>0.67534716246553239</v>
      </c>
      <c r="C111" t="s">
        <v>65</v>
      </c>
      <c r="E111" t="s">
        <v>10</v>
      </c>
      <c r="F111" t="s">
        <v>67</v>
      </c>
      <c r="G111" t="s">
        <v>66</v>
      </c>
    </row>
    <row r="112" spans="1:12" x14ac:dyDescent="0.55000000000000004">
      <c r="A112" s="8" t="s">
        <v>82</v>
      </c>
      <c r="B112" s="8">
        <f>B111*0.69</f>
        <v>0.46598954210121729</v>
      </c>
      <c r="C112" s="8" t="s">
        <v>65</v>
      </c>
      <c r="D112" s="8"/>
      <c r="E112" s="8" t="s">
        <v>10</v>
      </c>
      <c r="F112" s="8" t="s">
        <v>67</v>
      </c>
      <c r="G112" s="8" t="s">
        <v>83</v>
      </c>
      <c r="H112" s="8"/>
    </row>
    <row r="113" spans="1:10" x14ac:dyDescent="0.55000000000000004">
      <c r="A113" s="8" t="s">
        <v>84</v>
      </c>
      <c r="B113" s="8">
        <f>B112</f>
        <v>0.46598954210121729</v>
      </c>
      <c r="C113" s="8" t="s">
        <v>19</v>
      </c>
      <c r="D113" s="8" t="s">
        <v>3</v>
      </c>
      <c r="E113" s="8" t="s">
        <v>10</v>
      </c>
      <c r="F113" s="8" t="s">
        <v>23</v>
      </c>
      <c r="G113" s="2"/>
      <c r="H113" s="8" t="s">
        <v>85</v>
      </c>
    </row>
    <row r="114" spans="1:10" x14ac:dyDescent="0.55000000000000004">
      <c r="A114" s="8" t="s">
        <v>86</v>
      </c>
      <c r="B114" s="8">
        <f>B112*3</f>
        <v>1.3979686263036519</v>
      </c>
      <c r="C114" s="8" t="s">
        <v>19</v>
      </c>
      <c r="D114" s="8" t="s">
        <v>55</v>
      </c>
      <c r="E114" s="8" t="s">
        <v>27</v>
      </c>
      <c r="F114" s="8" t="s">
        <v>23</v>
      </c>
      <c r="G114" s="2"/>
      <c r="H114" s="8" t="s">
        <v>87</v>
      </c>
    </row>
    <row r="115" spans="1:10" x14ac:dyDescent="0.55000000000000004">
      <c r="A115" s="8" t="s">
        <v>88</v>
      </c>
      <c r="B115" s="8">
        <f>B112*0.004</f>
        <v>1.8639581684048692E-3</v>
      </c>
      <c r="C115" s="8" t="s">
        <v>19</v>
      </c>
      <c r="D115" s="8" t="s">
        <v>22</v>
      </c>
      <c r="E115" s="8" t="s">
        <v>10</v>
      </c>
      <c r="F115" s="8" t="s">
        <v>23</v>
      </c>
      <c r="G115" s="2"/>
      <c r="H115" s="8" t="s">
        <v>89</v>
      </c>
    </row>
    <row r="116" spans="1:10" x14ac:dyDescent="0.55000000000000004">
      <c r="A116" s="8" t="s">
        <v>34</v>
      </c>
      <c r="B116" s="10">
        <f>B112*I116/1000/3.6</f>
        <v>5.5659861973200962E-3</v>
      </c>
      <c r="C116" s="8" t="s">
        <v>19</v>
      </c>
      <c r="D116" s="8" t="s">
        <v>22</v>
      </c>
      <c r="E116" s="8" t="s">
        <v>35</v>
      </c>
      <c r="F116" s="8" t="s">
        <v>23</v>
      </c>
      <c r="G116" s="2"/>
      <c r="H116" s="8" t="s">
        <v>36</v>
      </c>
      <c r="I116">
        <v>43</v>
      </c>
      <c r="J116" s="8" t="s">
        <v>90</v>
      </c>
    </row>
    <row r="117" spans="1:10" x14ac:dyDescent="0.55000000000000004">
      <c r="A117" s="11" t="s">
        <v>91</v>
      </c>
      <c r="B117" s="12">
        <f>0.473*B112</f>
        <v>0.22041305341387576</v>
      </c>
      <c r="C117" s="8" t="s">
        <v>19</v>
      </c>
      <c r="D117" s="11" t="s">
        <v>22</v>
      </c>
      <c r="E117" s="11" t="s">
        <v>10</v>
      </c>
      <c r="F117" s="11" t="s">
        <v>23</v>
      </c>
      <c r="G117" s="2"/>
      <c r="H117" s="11" t="s">
        <v>92</v>
      </c>
    </row>
    <row r="118" spans="1:10" x14ac:dyDescent="0.55000000000000004">
      <c r="A118" s="11" t="s">
        <v>79</v>
      </c>
      <c r="B118" s="12">
        <f>B117/1000</f>
        <v>2.2041305341387576E-4</v>
      </c>
      <c r="C118" s="8" t="s">
        <v>65</v>
      </c>
      <c r="D118" s="8"/>
      <c r="E118" s="11" t="s">
        <v>30</v>
      </c>
      <c r="F118" s="11" t="s">
        <v>67</v>
      </c>
      <c r="G118" s="11" t="s">
        <v>66</v>
      </c>
      <c r="H118" s="11"/>
    </row>
    <row r="119" spans="1:10" x14ac:dyDescent="0.55000000000000004">
      <c r="B119" s="1"/>
    </row>
    <row r="120" spans="1:10" ht="15.6" x14ac:dyDescent="0.6">
      <c r="A120" s="4" t="s">
        <v>1</v>
      </c>
      <c r="B120" s="4" t="s">
        <v>117</v>
      </c>
    </row>
    <row r="121" spans="1:10" ht="43.2" x14ac:dyDescent="0.55000000000000004">
      <c r="A121" t="s">
        <v>94</v>
      </c>
      <c r="B121" s="5" t="s">
        <v>118</v>
      </c>
    </row>
    <row r="122" spans="1:10" x14ac:dyDescent="0.55000000000000004">
      <c r="A122" t="s">
        <v>2</v>
      </c>
      <c r="B122" t="s">
        <v>22</v>
      </c>
    </row>
    <row r="123" spans="1:10" x14ac:dyDescent="0.55000000000000004">
      <c r="A123" t="s">
        <v>5</v>
      </c>
      <c r="B123" t="s">
        <v>6</v>
      </c>
    </row>
    <row r="124" spans="1:10" ht="23.7" customHeight="1" x14ac:dyDescent="0.55000000000000004">
      <c r="A124" t="s">
        <v>7</v>
      </c>
      <c r="B124" t="s">
        <v>8</v>
      </c>
    </row>
    <row r="125" spans="1:10" x14ac:dyDescent="0.55000000000000004">
      <c r="A125" t="s">
        <v>9</v>
      </c>
      <c r="B125" t="s">
        <v>10</v>
      </c>
    </row>
    <row r="126" spans="1:10" ht="15.6" x14ac:dyDescent="0.6">
      <c r="A126" s="4" t="s">
        <v>15</v>
      </c>
    </row>
    <row r="127" spans="1:10" x14ac:dyDescent="0.55000000000000004">
      <c r="A127" t="s">
        <v>16</v>
      </c>
      <c r="B127" t="s">
        <v>17</v>
      </c>
      <c r="C127" t="s">
        <v>0</v>
      </c>
      <c r="D127" t="s">
        <v>2</v>
      </c>
      <c r="E127" t="s">
        <v>9</v>
      </c>
      <c r="F127" t="s">
        <v>7</v>
      </c>
      <c r="G127" t="s">
        <v>18</v>
      </c>
      <c r="H127" t="s">
        <v>5</v>
      </c>
    </row>
    <row r="128" spans="1:10" x14ac:dyDescent="0.55000000000000004">
      <c r="A128" t="str">
        <f>B120</f>
        <v>steel production, from molten oxide electrolysis</v>
      </c>
      <c r="B128">
        <v>1</v>
      </c>
      <c r="C128" t="s">
        <v>116</v>
      </c>
      <c r="D128" t="s">
        <v>22</v>
      </c>
      <c r="E128" t="s">
        <v>10</v>
      </c>
      <c r="F128" t="s">
        <v>20</v>
      </c>
      <c r="H128" t="s">
        <v>6</v>
      </c>
    </row>
    <row r="129" spans="1:8" x14ac:dyDescent="0.55000000000000004">
      <c r="A129" s="8" t="s">
        <v>34</v>
      </c>
      <c r="B129" s="13">
        <v>0.4</v>
      </c>
      <c r="C129" s="2" t="s">
        <v>98</v>
      </c>
      <c r="D129" s="8" t="s">
        <v>22</v>
      </c>
      <c r="E129" s="8" t="s">
        <v>35</v>
      </c>
      <c r="F129" s="2" t="s">
        <v>23</v>
      </c>
      <c r="G129" s="8"/>
      <c r="H129" s="8" t="s">
        <v>36</v>
      </c>
    </row>
    <row r="130" spans="1:8" x14ac:dyDescent="0.55000000000000004">
      <c r="A130" s="3" t="s">
        <v>44</v>
      </c>
      <c r="B130" s="13">
        <v>1.5</v>
      </c>
      <c r="C130" s="2" t="s">
        <v>98</v>
      </c>
      <c r="D130" s="13" t="s">
        <v>22</v>
      </c>
      <c r="E130" s="2" t="s">
        <v>10</v>
      </c>
      <c r="F130" s="2" t="s">
        <v>23</v>
      </c>
      <c r="G130" s="13"/>
      <c r="H130" s="2" t="s">
        <v>45</v>
      </c>
    </row>
    <row r="131" spans="1:8" x14ac:dyDescent="0.55000000000000004">
      <c r="A131" s="3" t="s">
        <v>119</v>
      </c>
      <c r="B131" s="13">
        <v>0.05</v>
      </c>
      <c r="C131" s="2" t="s">
        <v>98</v>
      </c>
      <c r="D131" s="2" t="s">
        <v>120</v>
      </c>
      <c r="E131" s="2" t="s">
        <v>10</v>
      </c>
      <c r="F131" s="2" t="s">
        <v>23</v>
      </c>
      <c r="G131" s="13"/>
      <c r="H131" s="2" t="s">
        <v>121</v>
      </c>
    </row>
    <row r="132" spans="1:8" x14ac:dyDescent="0.55000000000000004">
      <c r="A132" s="2" t="s">
        <v>64</v>
      </c>
      <c r="B132" s="2">
        <v>0.1</v>
      </c>
      <c r="C132" s="2" t="s">
        <v>65</v>
      </c>
      <c r="D132" s="2"/>
      <c r="E132" s="2" t="s">
        <v>10</v>
      </c>
      <c r="F132" s="2" t="s">
        <v>67</v>
      </c>
      <c r="G132" s="2" t="s">
        <v>66</v>
      </c>
      <c r="H132" s="2"/>
    </row>
    <row r="133" spans="1:8" x14ac:dyDescent="0.55000000000000004">
      <c r="B133" s="1"/>
    </row>
    <row r="134" spans="1:8" x14ac:dyDescent="0.55000000000000004">
      <c r="A134" s="14" t="s">
        <v>1</v>
      </c>
      <c r="B134" s="15" t="s">
        <v>122</v>
      </c>
    </row>
    <row r="135" spans="1:8" x14ac:dyDescent="0.55000000000000004">
      <c r="A135" t="s">
        <v>94</v>
      </c>
      <c r="B135" s="1" t="s">
        <v>110</v>
      </c>
    </row>
    <row r="136" spans="1:8" x14ac:dyDescent="0.55000000000000004">
      <c r="A136" t="s">
        <v>2</v>
      </c>
      <c r="B136" s="1" t="s">
        <v>22</v>
      </c>
    </row>
    <row r="137" spans="1:8" x14ac:dyDescent="0.55000000000000004">
      <c r="A137" t="s">
        <v>5</v>
      </c>
      <c r="B137" s="1" t="s">
        <v>6</v>
      </c>
    </row>
    <row r="138" spans="1:8" x14ac:dyDescent="0.55000000000000004">
      <c r="A138" t="s">
        <v>7</v>
      </c>
      <c r="B138" s="1" t="s">
        <v>8</v>
      </c>
    </row>
    <row r="139" spans="1:8" x14ac:dyDescent="0.55000000000000004">
      <c r="A139" t="s">
        <v>9</v>
      </c>
      <c r="B139" s="1" t="s">
        <v>10</v>
      </c>
    </row>
    <row r="140" spans="1:8" x14ac:dyDescent="0.55000000000000004">
      <c r="A140" t="s">
        <v>15</v>
      </c>
      <c r="B140" s="1"/>
    </row>
    <row r="141" spans="1:8" x14ac:dyDescent="0.55000000000000004">
      <c r="A141" t="s">
        <v>16</v>
      </c>
      <c r="B141" s="1" t="s">
        <v>17</v>
      </c>
      <c r="C141" t="s">
        <v>0</v>
      </c>
      <c r="D141" t="s">
        <v>2</v>
      </c>
      <c r="E141" t="s">
        <v>9</v>
      </c>
      <c r="F141" t="s">
        <v>7</v>
      </c>
      <c r="G141" t="s">
        <v>18</v>
      </c>
      <c r="H141" t="s">
        <v>5</v>
      </c>
    </row>
    <row r="142" spans="1:8" x14ac:dyDescent="0.55000000000000004">
      <c r="A142" s="1" t="str">
        <f>B134</f>
        <v>steel production, from natural gas-based DRI, with CCS [2]</v>
      </c>
      <c r="B142" s="1">
        <v>1</v>
      </c>
      <c r="C142" t="s">
        <v>116</v>
      </c>
      <c r="D142" t="s">
        <v>22</v>
      </c>
      <c r="E142" t="s">
        <v>10</v>
      </c>
      <c r="F142" t="s">
        <v>20</v>
      </c>
      <c r="H142" t="s">
        <v>6</v>
      </c>
    </row>
    <row r="143" spans="1:8" x14ac:dyDescent="0.55000000000000004">
      <c r="A143" t="s">
        <v>97</v>
      </c>
      <c r="B143" s="1">
        <v>1.6292073490000001</v>
      </c>
      <c r="C143" t="s">
        <v>98</v>
      </c>
      <c r="D143" t="s">
        <v>22</v>
      </c>
      <c r="E143" t="s">
        <v>10</v>
      </c>
      <c r="F143" t="s">
        <v>23</v>
      </c>
      <c r="H143" t="s">
        <v>99</v>
      </c>
    </row>
    <row r="144" spans="1:8" x14ac:dyDescent="0.55000000000000004">
      <c r="A144" t="s">
        <v>52</v>
      </c>
      <c r="B144" s="1">
        <v>2.6579703999999999E-2</v>
      </c>
      <c r="C144" t="s">
        <v>98</v>
      </c>
      <c r="D144" t="s">
        <v>26</v>
      </c>
      <c r="E144" t="s">
        <v>30</v>
      </c>
      <c r="F144" t="s">
        <v>23</v>
      </c>
      <c r="H144" t="s">
        <v>53</v>
      </c>
    </row>
    <row r="145" spans="1:10" x14ac:dyDescent="0.55000000000000004">
      <c r="A145" t="s">
        <v>34</v>
      </c>
      <c r="B145" s="1">
        <v>0.57984163</v>
      </c>
      <c r="C145" t="s">
        <v>98</v>
      </c>
      <c r="D145" t="s">
        <v>22</v>
      </c>
      <c r="E145" t="s">
        <v>35</v>
      </c>
      <c r="F145" t="s">
        <v>23</v>
      </c>
      <c r="H145" t="s">
        <v>36</v>
      </c>
    </row>
    <row r="146" spans="1:10" x14ac:dyDescent="0.55000000000000004">
      <c r="A146" t="s">
        <v>102</v>
      </c>
      <c r="B146" s="1">
        <v>3.3952317000000003E-2</v>
      </c>
      <c r="C146" t="s">
        <v>98</v>
      </c>
      <c r="D146" t="s">
        <v>22</v>
      </c>
      <c r="E146" t="s">
        <v>10</v>
      </c>
      <c r="F146" t="s">
        <v>23</v>
      </c>
      <c r="H146" t="s">
        <v>103</v>
      </c>
    </row>
    <row r="147" spans="1:10" x14ac:dyDescent="0.55000000000000004">
      <c r="A147" t="s">
        <v>104</v>
      </c>
      <c r="B147" s="1">
        <v>2.8066522E-2</v>
      </c>
      <c r="C147" t="s">
        <v>98</v>
      </c>
      <c r="D147" t="s">
        <v>26</v>
      </c>
      <c r="E147" t="s">
        <v>10</v>
      </c>
      <c r="F147" t="s">
        <v>23</v>
      </c>
      <c r="H147" t="s">
        <v>105</v>
      </c>
    </row>
    <row r="148" spans="1:10" x14ac:dyDescent="0.55000000000000004">
      <c r="A148" t="s">
        <v>106</v>
      </c>
      <c r="B148" s="1">
        <v>1.2782701729999999</v>
      </c>
      <c r="C148" t="s">
        <v>98</v>
      </c>
      <c r="D148" t="s">
        <v>26</v>
      </c>
      <c r="E148" t="s">
        <v>10</v>
      </c>
      <c r="F148" t="s">
        <v>23</v>
      </c>
      <c r="H148" t="s">
        <v>107</v>
      </c>
    </row>
    <row r="149" spans="1:10" x14ac:dyDescent="0.55000000000000004">
      <c r="A149" t="s">
        <v>79</v>
      </c>
      <c r="B149" s="1">
        <v>9.2174800000000001E-4</v>
      </c>
      <c r="C149" t="s">
        <v>65</v>
      </c>
      <c r="E149" t="s">
        <v>30</v>
      </c>
      <c r="F149" t="s">
        <v>67</v>
      </c>
      <c r="G149" t="s">
        <v>66</v>
      </c>
    </row>
    <row r="150" spans="1:10" x14ac:dyDescent="0.55000000000000004">
      <c r="A150" t="s">
        <v>79</v>
      </c>
      <c r="B150" s="1">
        <v>3.5652200000000001E-4</v>
      </c>
      <c r="C150" t="s">
        <v>65</v>
      </c>
      <c r="E150" t="s">
        <v>30</v>
      </c>
      <c r="F150" t="s">
        <v>67</v>
      </c>
      <c r="G150" t="s">
        <v>108</v>
      </c>
    </row>
    <row r="151" spans="1:10" x14ac:dyDescent="0.55000000000000004">
      <c r="A151" t="s">
        <v>64</v>
      </c>
      <c r="B151" s="1">
        <v>0.675347162</v>
      </c>
      <c r="C151" t="s">
        <v>65</v>
      </c>
      <c r="E151" t="s">
        <v>10</v>
      </c>
      <c r="F151" t="s">
        <v>67</v>
      </c>
      <c r="G151" t="s">
        <v>66</v>
      </c>
    </row>
    <row r="152" spans="1:10" x14ac:dyDescent="0.55000000000000004">
      <c r="A152" t="s">
        <v>82</v>
      </c>
      <c r="B152" s="1">
        <v>0.46598954199999998</v>
      </c>
      <c r="C152" t="s">
        <v>65</v>
      </c>
      <c r="E152" t="s">
        <v>10</v>
      </c>
      <c r="F152" t="s">
        <v>67</v>
      </c>
      <c r="G152" t="s">
        <v>83</v>
      </c>
    </row>
    <row r="153" spans="1:10" x14ac:dyDescent="0.55000000000000004">
      <c r="A153" t="s">
        <v>84</v>
      </c>
      <c r="B153" s="1">
        <v>0.46598954199999998</v>
      </c>
      <c r="C153" t="s">
        <v>19</v>
      </c>
      <c r="D153" t="s">
        <v>3</v>
      </c>
      <c r="E153" t="s">
        <v>10</v>
      </c>
      <c r="F153" t="s">
        <v>23</v>
      </c>
      <c r="H153" t="s">
        <v>85</v>
      </c>
    </row>
    <row r="154" spans="1:10" x14ac:dyDescent="0.55000000000000004">
      <c r="A154" t="s">
        <v>86</v>
      </c>
      <c r="B154" s="1">
        <v>1.3979686259999999</v>
      </c>
      <c r="C154" t="s">
        <v>19</v>
      </c>
      <c r="D154" t="s">
        <v>55</v>
      </c>
      <c r="E154" t="s">
        <v>27</v>
      </c>
      <c r="F154" t="s">
        <v>23</v>
      </c>
      <c r="H154" t="s">
        <v>87</v>
      </c>
    </row>
    <row r="155" spans="1:10" x14ac:dyDescent="0.55000000000000004">
      <c r="A155" t="s">
        <v>88</v>
      </c>
      <c r="B155" s="1">
        <v>1.863958E-3</v>
      </c>
      <c r="C155" t="s">
        <v>19</v>
      </c>
      <c r="D155" t="s">
        <v>22</v>
      </c>
      <c r="E155" t="s">
        <v>10</v>
      </c>
      <c r="F155" t="s">
        <v>23</v>
      </c>
      <c r="H155" t="s">
        <v>89</v>
      </c>
    </row>
    <row r="156" spans="1:10" x14ac:dyDescent="0.55000000000000004">
      <c r="A156" t="s">
        <v>34</v>
      </c>
      <c r="B156" s="1">
        <v>5.5659999999999998E-3</v>
      </c>
      <c r="C156" t="s">
        <v>19</v>
      </c>
      <c r="D156" t="s">
        <v>3</v>
      </c>
      <c r="E156" t="s">
        <v>35</v>
      </c>
      <c r="F156" t="s">
        <v>23</v>
      </c>
      <c r="H156" t="s">
        <v>36</v>
      </c>
      <c r="I156">
        <v>43</v>
      </c>
      <c r="J156" t="s">
        <v>90</v>
      </c>
    </row>
    <row r="157" spans="1:10" x14ac:dyDescent="0.55000000000000004">
      <c r="A157" t="s">
        <v>91</v>
      </c>
      <c r="B157" s="1">
        <v>0.22</v>
      </c>
      <c r="C157" t="s">
        <v>19</v>
      </c>
      <c r="D157" t="s">
        <v>22</v>
      </c>
      <c r="E157" t="s">
        <v>10</v>
      </c>
      <c r="F157" t="s">
        <v>23</v>
      </c>
      <c r="H157" t="s">
        <v>92</v>
      </c>
    </row>
    <row r="158" spans="1:10" x14ac:dyDescent="0.55000000000000004">
      <c r="A158" t="s">
        <v>79</v>
      </c>
      <c r="B158" s="1">
        <v>2.2000000000000001E-4</v>
      </c>
      <c r="C158" t="s">
        <v>65</v>
      </c>
      <c r="E158" t="s">
        <v>30</v>
      </c>
      <c r="F158" t="s">
        <v>67</v>
      </c>
      <c r="G158" t="s">
        <v>66</v>
      </c>
    </row>
    <row r="160" spans="1:10" x14ac:dyDescent="0.55000000000000004">
      <c r="A160" s="14" t="s">
        <v>1</v>
      </c>
      <c r="B160" s="14" t="s">
        <v>134</v>
      </c>
    </row>
    <row r="161" spans="1:6" x14ac:dyDescent="0.55000000000000004">
      <c r="A161" t="s">
        <v>4</v>
      </c>
    </row>
    <row r="162" spans="1:6" x14ac:dyDescent="0.55000000000000004">
      <c r="A162" t="s">
        <v>5</v>
      </c>
      <c r="B162" t="s">
        <v>6</v>
      </c>
    </row>
    <row r="163" spans="1:6" x14ac:dyDescent="0.55000000000000004">
      <c r="A163" t="s">
        <v>9</v>
      </c>
      <c r="B163" t="s">
        <v>10</v>
      </c>
    </row>
    <row r="164" spans="1:6" x14ac:dyDescent="0.55000000000000004">
      <c r="A164" t="s">
        <v>2</v>
      </c>
      <c r="B164" t="s">
        <v>135</v>
      </c>
    </row>
    <row r="165" spans="1:6" x14ac:dyDescent="0.55000000000000004">
      <c r="A165" t="s">
        <v>94</v>
      </c>
      <c r="B165" t="s">
        <v>136</v>
      </c>
    </row>
    <row r="166" spans="1:6" x14ac:dyDescent="0.55000000000000004">
      <c r="A166" t="s">
        <v>11</v>
      </c>
      <c r="B166" t="s">
        <v>137</v>
      </c>
    </row>
    <row r="167" spans="1:6" x14ac:dyDescent="0.55000000000000004">
      <c r="A167" t="s">
        <v>15</v>
      </c>
    </row>
    <row r="168" spans="1:6" x14ac:dyDescent="0.55000000000000004">
      <c r="A168" t="s">
        <v>16</v>
      </c>
      <c r="B168" t="s">
        <v>17</v>
      </c>
      <c r="C168" t="s">
        <v>2</v>
      </c>
      <c r="D168" t="s">
        <v>9</v>
      </c>
      <c r="E168" t="s">
        <v>18</v>
      </c>
      <c r="F168" t="s">
        <v>7</v>
      </c>
    </row>
    <row r="169" spans="1:6" x14ac:dyDescent="0.55000000000000004">
      <c r="A169" t="s">
        <v>134</v>
      </c>
      <c r="B169">
        <v>1</v>
      </c>
      <c r="C169" t="s">
        <v>135</v>
      </c>
      <c r="D169" t="s">
        <v>10</v>
      </c>
      <c r="F169" t="s">
        <v>20</v>
      </c>
    </row>
    <row r="170" spans="1:6" x14ac:dyDescent="0.55000000000000004">
      <c r="A170" t="s">
        <v>138</v>
      </c>
      <c r="B170">
        <v>3.46410161513775E-3</v>
      </c>
      <c r="C170" t="s">
        <v>22</v>
      </c>
      <c r="D170" t="s">
        <v>10</v>
      </c>
      <c r="F170" t="s">
        <v>23</v>
      </c>
    </row>
    <row r="171" spans="1:6" x14ac:dyDescent="0.55000000000000004">
      <c r="A171" t="s">
        <v>139</v>
      </c>
      <c r="B171">
        <v>1.09286655864291E-3</v>
      </c>
      <c r="C171" t="s">
        <v>3</v>
      </c>
      <c r="D171" t="s">
        <v>10</v>
      </c>
      <c r="F171" t="s">
        <v>23</v>
      </c>
    </row>
    <row r="172" spans="1:6" x14ac:dyDescent="0.55000000000000004">
      <c r="A172" t="s">
        <v>202</v>
      </c>
      <c r="B172">
        <v>3.9999999999999998E-11</v>
      </c>
      <c r="C172" t="s">
        <v>26</v>
      </c>
      <c r="D172" t="s">
        <v>9</v>
      </c>
      <c r="F172" t="s">
        <v>23</v>
      </c>
    </row>
    <row r="173" spans="1:6" x14ac:dyDescent="0.55000000000000004">
      <c r="A173" t="s">
        <v>140</v>
      </c>
      <c r="B173">
        <v>-1.9127399999999999E-2</v>
      </c>
      <c r="C173" t="s">
        <v>55</v>
      </c>
      <c r="D173" t="s">
        <v>10</v>
      </c>
      <c r="F173" t="s">
        <v>23</v>
      </c>
    </row>
    <row r="174" spans="1:6" x14ac:dyDescent="0.55000000000000004">
      <c r="A174" t="s">
        <v>141</v>
      </c>
      <c r="B174">
        <v>-1.924E-2</v>
      </c>
      <c r="C174" t="s">
        <v>3</v>
      </c>
      <c r="D174" t="s">
        <v>10</v>
      </c>
      <c r="F174" t="s">
        <v>23</v>
      </c>
    </row>
    <row r="175" spans="1:6" x14ac:dyDescent="0.55000000000000004">
      <c r="A175" t="s">
        <v>142</v>
      </c>
      <c r="B175">
        <v>-0.145866</v>
      </c>
      <c r="C175" t="s">
        <v>55</v>
      </c>
      <c r="D175" t="s">
        <v>10</v>
      </c>
      <c r="F175" t="s">
        <v>23</v>
      </c>
    </row>
    <row r="176" spans="1:6" x14ac:dyDescent="0.55000000000000004">
      <c r="A176" t="s">
        <v>143</v>
      </c>
      <c r="B176">
        <v>6.1701894910720287E-4</v>
      </c>
      <c r="C176" t="s">
        <v>144</v>
      </c>
      <c r="D176" t="s">
        <v>35</v>
      </c>
      <c r="F176" t="s">
        <v>23</v>
      </c>
    </row>
    <row r="177" spans="1:6" x14ac:dyDescent="0.55000000000000004">
      <c r="A177" t="s">
        <v>143</v>
      </c>
      <c r="B177">
        <v>3.9197171088429527E-5</v>
      </c>
      <c r="C177" t="s">
        <v>145</v>
      </c>
      <c r="D177" t="s">
        <v>35</v>
      </c>
      <c r="F177" t="s">
        <v>23</v>
      </c>
    </row>
    <row r="178" spans="1:6" x14ac:dyDescent="0.55000000000000004">
      <c r="A178" t="s">
        <v>143</v>
      </c>
      <c r="B178">
        <v>1.072302803147397E-2</v>
      </c>
      <c r="C178" t="s">
        <v>146</v>
      </c>
      <c r="D178" t="s">
        <v>35</v>
      </c>
      <c r="F178" t="s">
        <v>23</v>
      </c>
    </row>
    <row r="179" spans="1:6" x14ac:dyDescent="0.55000000000000004">
      <c r="A179" t="s">
        <v>143</v>
      </c>
      <c r="B179">
        <v>9.0434291899349796E-3</v>
      </c>
      <c r="C179" t="s">
        <v>147</v>
      </c>
      <c r="D179" t="s">
        <v>35</v>
      </c>
      <c r="F179" t="s">
        <v>23</v>
      </c>
    </row>
    <row r="180" spans="1:6" x14ac:dyDescent="0.55000000000000004">
      <c r="A180" t="s">
        <v>143</v>
      </c>
      <c r="B180">
        <v>4.9077363809222133E-2</v>
      </c>
      <c r="C180" t="s">
        <v>148</v>
      </c>
      <c r="D180" t="s">
        <v>35</v>
      </c>
      <c r="F180" t="s">
        <v>23</v>
      </c>
    </row>
    <row r="181" spans="1:6" x14ac:dyDescent="0.55000000000000004">
      <c r="A181" t="s">
        <v>143</v>
      </c>
      <c r="B181">
        <v>2.4149243635644229E-2</v>
      </c>
      <c r="C181" t="s">
        <v>149</v>
      </c>
      <c r="D181" t="s">
        <v>35</v>
      </c>
      <c r="F181" t="s">
        <v>23</v>
      </c>
    </row>
    <row r="182" spans="1:6" x14ac:dyDescent="0.55000000000000004">
      <c r="A182" t="s">
        <v>143</v>
      </c>
      <c r="B182">
        <v>9.0621687446644332E-4</v>
      </c>
      <c r="C182" t="s">
        <v>150</v>
      </c>
      <c r="D182" t="s">
        <v>35</v>
      </c>
      <c r="F182" t="s">
        <v>23</v>
      </c>
    </row>
    <row r="183" spans="1:6" x14ac:dyDescent="0.55000000000000004">
      <c r="A183" t="s">
        <v>143</v>
      </c>
      <c r="B183">
        <v>1.750685094261555E-3</v>
      </c>
      <c r="C183" t="s">
        <v>151</v>
      </c>
      <c r="D183" t="s">
        <v>35</v>
      </c>
      <c r="F183" t="s">
        <v>23</v>
      </c>
    </row>
    <row r="184" spans="1:6" x14ac:dyDescent="0.55000000000000004">
      <c r="A184" t="s">
        <v>143</v>
      </c>
      <c r="B184">
        <v>6.3086297384941396E-3</v>
      </c>
      <c r="C184" t="s">
        <v>152</v>
      </c>
      <c r="D184" t="s">
        <v>35</v>
      </c>
      <c r="F184" t="s">
        <v>23</v>
      </c>
    </row>
    <row r="185" spans="1:6" x14ac:dyDescent="0.55000000000000004">
      <c r="A185" t="s">
        <v>143</v>
      </c>
      <c r="B185">
        <v>2.3658813269607248E-3</v>
      </c>
      <c r="C185" t="s">
        <v>153</v>
      </c>
      <c r="D185" t="s">
        <v>35</v>
      </c>
      <c r="F185" t="s">
        <v>23</v>
      </c>
    </row>
    <row r="186" spans="1:6" x14ac:dyDescent="0.55000000000000004">
      <c r="A186" t="s">
        <v>143</v>
      </c>
      <c r="B186">
        <v>6.0557844051336374E-3</v>
      </c>
      <c r="C186" t="s">
        <v>154</v>
      </c>
      <c r="D186" t="s">
        <v>35</v>
      </c>
      <c r="F186" t="s">
        <v>23</v>
      </c>
    </row>
    <row r="187" spans="1:6" x14ac:dyDescent="0.55000000000000004">
      <c r="A187" t="s">
        <v>143</v>
      </c>
      <c r="B187">
        <v>4.2170956556704392E-4</v>
      </c>
      <c r="C187" t="s">
        <v>155</v>
      </c>
      <c r="D187" t="s">
        <v>35</v>
      </c>
      <c r="F187" t="s">
        <v>23</v>
      </c>
    </row>
    <row r="188" spans="1:6" x14ac:dyDescent="0.55000000000000004">
      <c r="A188" t="s">
        <v>143</v>
      </c>
      <c r="B188">
        <v>1.3509107862769651E-3</v>
      </c>
      <c r="C188" t="s">
        <v>156</v>
      </c>
      <c r="D188" t="s">
        <v>35</v>
      </c>
      <c r="F188" t="s">
        <v>23</v>
      </c>
    </row>
    <row r="189" spans="1:6" x14ac:dyDescent="0.55000000000000004">
      <c r="A189" t="s">
        <v>143</v>
      </c>
      <c r="B189">
        <v>1.1264703406404729E-3</v>
      </c>
      <c r="C189" t="s">
        <v>157</v>
      </c>
      <c r="D189" t="s">
        <v>35</v>
      </c>
      <c r="F189" t="s">
        <v>23</v>
      </c>
    </row>
    <row r="190" spans="1:6" x14ac:dyDescent="0.55000000000000004">
      <c r="A190" t="s">
        <v>143</v>
      </c>
      <c r="B190">
        <v>3.2423316654897009E-3</v>
      </c>
      <c r="C190" t="s">
        <v>158</v>
      </c>
      <c r="D190" t="s">
        <v>35</v>
      </c>
      <c r="F190" t="s">
        <v>23</v>
      </c>
    </row>
    <row r="191" spans="1:6" x14ac:dyDescent="0.55000000000000004">
      <c r="A191" t="s">
        <v>143</v>
      </c>
      <c r="B191">
        <v>6.4981518778859382E-3</v>
      </c>
      <c r="C191" t="s">
        <v>159</v>
      </c>
      <c r="D191" t="s">
        <v>35</v>
      </c>
      <c r="F191" t="s">
        <v>23</v>
      </c>
    </row>
    <row r="192" spans="1:6" x14ac:dyDescent="0.55000000000000004">
      <c r="A192" t="s">
        <v>143</v>
      </c>
      <c r="B192">
        <v>4.7619389475090389E-2</v>
      </c>
      <c r="C192" t="s">
        <v>160</v>
      </c>
      <c r="D192" t="s">
        <v>35</v>
      </c>
      <c r="F192" t="s">
        <v>23</v>
      </c>
    </row>
    <row r="193" spans="1:6" x14ac:dyDescent="0.55000000000000004">
      <c r="A193" t="s">
        <v>143</v>
      </c>
      <c r="B193">
        <v>1.362450118593771E-2</v>
      </c>
      <c r="C193" t="s">
        <v>161</v>
      </c>
      <c r="D193" t="s">
        <v>35</v>
      </c>
      <c r="F193" t="s">
        <v>23</v>
      </c>
    </row>
    <row r="194" spans="1:6" x14ac:dyDescent="0.55000000000000004">
      <c r="A194" t="s">
        <v>143</v>
      </c>
      <c r="B194">
        <v>1.5409829085202839E-2</v>
      </c>
      <c r="C194" t="s">
        <v>162</v>
      </c>
      <c r="D194" t="s">
        <v>35</v>
      </c>
      <c r="F194" t="s">
        <v>23</v>
      </c>
    </row>
    <row r="195" spans="1:6" x14ac:dyDescent="0.55000000000000004">
      <c r="A195" t="s">
        <v>143</v>
      </c>
      <c r="B195">
        <v>2.1939409819286991E-3</v>
      </c>
      <c r="C195" t="s">
        <v>163</v>
      </c>
      <c r="D195" t="s">
        <v>35</v>
      </c>
      <c r="F195" t="s">
        <v>23</v>
      </c>
    </row>
    <row r="196" spans="1:6" x14ac:dyDescent="0.55000000000000004">
      <c r="A196" t="s">
        <v>143</v>
      </c>
      <c r="B196">
        <v>8.2671317013689599E-3</v>
      </c>
      <c r="C196" t="s">
        <v>164</v>
      </c>
      <c r="D196" t="s">
        <v>35</v>
      </c>
      <c r="F196" t="s">
        <v>23</v>
      </c>
    </row>
    <row r="197" spans="1:6" x14ac:dyDescent="0.55000000000000004">
      <c r="A197" t="s">
        <v>143</v>
      </c>
      <c r="B197">
        <v>1.4478964264394961E-3</v>
      </c>
      <c r="C197" t="s">
        <v>165</v>
      </c>
      <c r="D197" t="s">
        <v>35</v>
      </c>
      <c r="F197" t="s">
        <v>23</v>
      </c>
    </row>
    <row r="198" spans="1:6" x14ac:dyDescent="0.55000000000000004">
      <c r="A198" t="s">
        <v>143</v>
      </c>
      <c r="B198">
        <v>1.396856486853193E-2</v>
      </c>
      <c r="C198" t="s">
        <v>166</v>
      </c>
      <c r="D198" t="s">
        <v>35</v>
      </c>
      <c r="F198" t="s">
        <v>23</v>
      </c>
    </row>
    <row r="199" spans="1:6" x14ac:dyDescent="0.55000000000000004">
      <c r="A199" t="s">
        <v>143</v>
      </c>
      <c r="B199">
        <v>4.7479539205062546E-3</v>
      </c>
      <c r="C199" t="s">
        <v>167</v>
      </c>
      <c r="D199" t="s">
        <v>35</v>
      </c>
      <c r="F199" t="s">
        <v>23</v>
      </c>
    </row>
    <row r="200" spans="1:6" x14ac:dyDescent="0.55000000000000004">
      <c r="A200" t="s">
        <v>143</v>
      </c>
      <c r="B200">
        <v>8.2127427674547768E-2</v>
      </c>
      <c r="C200" t="s">
        <v>168</v>
      </c>
      <c r="D200" t="s">
        <v>35</v>
      </c>
      <c r="F200" t="s">
        <v>23</v>
      </c>
    </row>
    <row r="201" spans="1:6" x14ac:dyDescent="0.55000000000000004">
      <c r="A201" t="s">
        <v>143</v>
      </c>
      <c r="B201">
        <v>2.4472052767993819E-2</v>
      </c>
      <c r="C201" t="s">
        <v>169</v>
      </c>
      <c r="D201" t="s">
        <v>35</v>
      </c>
      <c r="F201" t="s">
        <v>23</v>
      </c>
    </row>
    <row r="202" spans="1:6" x14ac:dyDescent="0.55000000000000004">
      <c r="A202" t="s">
        <v>143</v>
      </c>
      <c r="B202">
        <v>2.6205914037182531E-3</v>
      </c>
      <c r="C202" t="s">
        <v>170</v>
      </c>
      <c r="D202" t="s">
        <v>35</v>
      </c>
      <c r="F202" t="s">
        <v>23</v>
      </c>
    </row>
    <row r="203" spans="1:6" x14ac:dyDescent="0.55000000000000004">
      <c r="A203" t="s">
        <v>143</v>
      </c>
      <c r="B203">
        <v>3.630578500388189E-3</v>
      </c>
      <c r="C203" t="s">
        <v>171</v>
      </c>
      <c r="D203" t="s">
        <v>35</v>
      </c>
      <c r="F203" t="s">
        <v>23</v>
      </c>
    </row>
    <row r="204" spans="1:6" x14ac:dyDescent="0.55000000000000004">
      <c r="A204" t="s">
        <v>143</v>
      </c>
      <c r="B204">
        <v>3.8909450495354721E-2</v>
      </c>
      <c r="C204" t="s">
        <v>172</v>
      </c>
      <c r="D204" t="s">
        <v>35</v>
      </c>
      <c r="F204" t="s">
        <v>23</v>
      </c>
    </row>
    <row r="205" spans="1:6" x14ac:dyDescent="0.55000000000000004">
      <c r="A205" t="s">
        <v>143</v>
      </c>
      <c r="B205">
        <v>2.7850781556108671E-2</v>
      </c>
      <c r="C205" t="s">
        <v>173</v>
      </c>
      <c r="D205" t="s">
        <v>35</v>
      </c>
      <c r="F205" t="s">
        <v>23</v>
      </c>
    </row>
    <row r="206" spans="1:6" x14ac:dyDescent="0.55000000000000004">
      <c r="A206" t="s">
        <v>143</v>
      </c>
      <c r="B206">
        <v>9.0444166243619853E-3</v>
      </c>
      <c r="C206" t="s">
        <v>174</v>
      </c>
      <c r="D206" t="s">
        <v>35</v>
      </c>
      <c r="F206" t="s">
        <v>23</v>
      </c>
    </row>
    <row r="207" spans="1:6" x14ac:dyDescent="0.55000000000000004">
      <c r="A207" t="s">
        <v>143</v>
      </c>
      <c r="B207">
        <v>7.8782930409676283E-3</v>
      </c>
      <c r="C207" t="s">
        <v>175</v>
      </c>
      <c r="D207" t="s">
        <v>35</v>
      </c>
      <c r="F207" t="s">
        <v>23</v>
      </c>
    </row>
    <row r="208" spans="1:6" x14ac:dyDescent="0.55000000000000004">
      <c r="A208" t="s">
        <v>143</v>
      </c>
      <c r="B208">
        <v>6.1617203604531516E-3</v>
      </c>
      <c r="C208" t="s">
        <v>176</v>
      </c>
      <c r="D208" t="s">
        <v>35</v>
      </c>
      <c r="F208" t="s">
        <v>23</v>
      </c>
    </row>
    <row r="209" spans="1:6" x14ac:dyDescent="0.55000000000000004">
      <c r="A209" t="s">
        <v>143</v>
      </c>
      <c r="B209">
        <v>8.3223906299039627E-2</v>
      </c>
      <c r="C209" t="s">
        <v>177</v>
      </c>
      <c r="D209" t="s">
        <v>35</v>
      </c>
      <c r="F209" t="s">
        <v>23</v>
      </c>
    </row>
    <row r="210" spans="1:6" x14ac:dyDescent="0.55000000000000004">
      <c r="A210" t="s">
        <v>143</v>
      </c>
      <c r="B210">
        <v>1.439480743465304E-3</v>
      </c>
      <c r="C210" t="s">
        <v>178</v>
      </c>
      <c r="D210" t="s">
        <v>35</v>
      </c>
      <c r="F210" t="s">
        <v>23</v>
      </c>
    </row>
    <row r="211" spans="1:6" x14ac:dyDescent="0.55000000000000004">
      <c r="A211" t="s">
        <v>143</v>
      </c>
      <c r="B211">
        <v>5.4933228820234267E-3</v>
      </c>
      <c r="C211" t="s">
        <v>179</v>
      </c>
      <c r="D211" t="s">
        <v>35</v>
      </c>
      <c r="F211" t="s">
        <v>23</v>
      </c>
    </row>
    <row r="212" spans="1:6" x14ac:dyDescent="0.55000000000000004">
      <c r="A212" t="s">
        <v>143</v>
      </c>
      <c r="B212">
        <v>2.5084776215519189E-2</v>
      </c>
      <c r="C212" t="s">
        <v>180</v>
      </c>
      <c r="D212" t="s">
        <v>35</v>
      </c>
      <c r="F212" t="s">
        <v>23</v>
      </c>
    </row>
    <row r="213" spans="1:6" x14ac:dyDescent="0.55000000000000004">
      <c r="A213" t="s">
        <v>143</v>
      </c>
      <c r="B213">
        <v>8.2787002036942389E-4</v>
      </c>
      <c r="C213" t="s">
        <v>181</v>
      </c>
      <c r="D213" t="s">
        <v>35</v>
      </c>
      <c r="F213" t="s">
        <v>23</v>
      </c>
    </row>
    <row r="214" spans="1:6" x14ac:dyDescent="0.55000000000000004">
      <c r="A214" t="s">
        <v>37</v>
      </c>
      <c r="B214">
        <v>1.0304687266017199E-2</v>
      </c>
      <c r="C214" t="s">
        <v>22</v>
      </c>
      <c r="D214" t="s">
        <v>10</v>
      </c>
      <c r="F214" t="s">
        <v>23</v>
      </c>
    </row>
    <row r="215" spans="1:6" x14ac:dyDescent="0.55000000000000004">
      <c r="A215" t="s">
        <v>182</v>
      </c>
      <c r="B215">
        <v>3.9169544357431502E-3</v>
      </c>
      <c r="C215" t="s">
        <v>22</v>
      </c>
      <c r="D215" t="s">
        <v>10</v>
      </c>
      <c r="F215" t="s">
        <v>23</v>
      </c>
    </row>
    <row r="216" spans="1:6" x14ac:dyDescent="0.55000000000000004">
      <c r="A216" t="s">
        <v>183</v>
      </c>
      <c r="B216">
        <v>5.1107686432508084E-3</v>
      </c>
      <c r="C216" t="s">
        <v>184</v>
      </c>
      <c r="D216" t="s">
        <v>10</v>
      </c>
      <c r="F216" t="s">
        <v>23</v>
      </c>
    </row>
    <row r="217" spans="1:6" x14ac:dyDescent="0.55000000000000004">
      <c r="A217" t="s">
        <v>183</v>
      </c>
      <c r="B217">
        <v>4.0543827466608716E-3</v>
      </c>
      <c r="C217" t="s">
        <v>26</v>
      </c>
      <c r="D217" t="s">
        <v>10</v>
      </c>
      <c r="F217" t="s">
        <v>23</v>
      </c>
    </row>
    <row r="218" spans="1:6" x14ac:dyDescent="0.55000000000000004">
      <c r="A218" t="s">
        <v>41</v>
      </c>
      <c r="B218">
        <v>-6.7823299999999996E-3</v>
      </c>
      <c r="C218" t="s">
        <v>26</v>
      </c>
      <c r="D218" t="s">
        <v>10</v>
      </c>
      <c r="F218" t="s">
        <v>23</v>
      </c>
    </row>
    <row r="219" spans="1:6" x14ac:dyDescent="0.55000000000000004">
      <c r="A219" t="s">
        <v>46</v>
      </c>
      <c r="B219">
        <v>1.1313920629030401</v>
      </c>
      <c r="C219" t="s">
        <v>3</v>
      </c>
      <c r="D219" t="s">
        <v>10</v>
      </c>
      <c r="F219" t="s">
        <v>23</v>
      </c>
    </row>
    <row r="220" spans="1:6" x14ac:dyDescent="0.55000000000000004">
      <c r="A220" t="s">
        <v>52</v>
      </c>
      <c r="B220">
        <v>4.3811603528579283E-5</v>
      </c>
      <c r="C220" t="s">
        <v>176</v>
      </c>
      <c r="D220" t="s">
        <v>30</v>
      </c>
      <c r="F220" t="s">
        <v>23</v>
      </c>
    </row>
    <row r="221" spans="1:6" x14ac:dyDescent="0.55000000000000004">
      <c r="A221" t="s">
        <v>52</v>
      </c>
      <c r="B221">
        <v>1.8284972411520859E-4</v>
      </c>
      <c r="C221" t="s">
        <v>174</v>
      </c>
      <c r="D221" t="s">
        <v>30</v>
      </c>
      <c r="F221" t="s">
        <v>23</v>
      </c>
    </row>
    <row r="222" spans="1:6" x14ac:dyDescent="0.55000000000000004">
      <c r="A222" t="s">
        <v>52</v>
      </c>
      <c r="B222">
        <v>7.8904791941083541E-5</v>
      </c>
      <c r="C222" t="s">
        <v>179</v>
      </c>
      <c r="D222" t="s">
        <v>30</v>
      </c>
      <c r="F222" t="s">
        <v>23</v>
      </c>
    </row>
    <row r="223" spans="1:6" x14ac:dyDescent="0.55000000000000004">
      <c r="A223" t="s">
        <v>52</v>
      </c>
      <c r="B223">
        <v>3.4195994866009522E-4</v>
      </c>
      <c r="C223" t="s">
        <v>185</v>
      </c>
      <c r="D223" t="s">
        <v>30</v>
      </c>
      <c r="F223" t="s">
        <v>23</v>
      </c>
    </row>
    <row r="224" spans="1:6" x14ac:dyDescent="0.55000000000000004">
      <c r="A224" t="s">
        <v>52</v>
      </c>
      <c r="B224">
        <v>1.1562776310568279E-3</v>
      </c>
      <c r="C224" t="s">
        <v>148</v>
      </c>
      <c r="D224" t="s">
        <v>30</v>
      </c>
      <c r="F224" t="s">
        <v>23</v>
      </c>
    </row>
    <row r="225" spans="1:6" x14ac:dyDescent="0.55000000000000004">
      <c r="A225" t="s">
        <v>52</v>
      </c>
      <c r="B225">
        <v>3.5629885436650648E-4</v>
      </c>
      <c r="C225" t="s">
        <v>173</v>
      </c>
      <c r="D225" t="s">
        <v>30</v>
      </c>
      <c r="F225" t="s">
        <v>23</v>
      </c>
    </row>
    <row r="226" spans="1:6" x14ac:dyDescent="0.55000000000000004">
      <c r="A226" t="s">
        <v>52</v>
      </c>
      <c r="B226">
        <v>1.164573403793201E-3</v>
      </c>
      <c r="C226" t="s">
        <v>160</v>
      </c>
      <c r="D226" t="s">
        <v>30</v>
      </c>
      <c r="F226" t="s">
        <v>23</v>
      </c>
    </row>
    <row r="227" spans="1:6" x14ac:dyDescent="0.55000000000000004">
      <c r="A227" t="s">
        <v>52</v>
      </c>
      <c r="B227">
        <v>2.7926739785271148E-4</v>
      </c>
      <c r="C227" t="s">
        <v>161</v>
      </c>
      <c r="D227" t="s">
        <v>30</v>
      </c>
      <c r="F227" t="s">
        <v>23</v>
      </c>
    </row>
    <row r="228" spans="1:6" x14ac:dyDescent="0.55000000000000004">
      <c r="A228" t="s">
        <v>52</v>
      </c>
      <c r="B228">
        <v>6.4076560632649634E-4</v>
      </c>
      <c r="C228" t="s">
        <v>162</v>
      </c>
      <c r="D228" t="s">
        <v>30</v>
      </c>
      <c r="F228" t="s">
        <v>23</v>
      </c>
    </row>
    <row r="229" spans="1:6" x14ac:dyDescent="0.55000000000000004">
      <c r="A229" t="s">
        <v>52</v>
      </c>
      <c r="B229">
        <v>8.3557134767290182E-5</v>
      </c>
      <c r="C229" t="s">
        <v>180</v>
      </c>
      <c r="D229" t="s">
        <v>30</v>
      </c>
      <c r="F229" t="s">
        <v>23</v>
      </c>
    </row>
    <row r="230" spans="1:6" x14ac:dyDescent="0.55000000000000004">
      <c r="A230" t="s">
        <v>52</v>
      </c>
      <c r="B230">
        <v>1.4560797988020699E-3</v>
      </c>
      <c r="C230" t="s">
        <v>177</v>
      </c>
      <c r="D230" t="s">
        <v>30</v>
      </c>
      <c r="F230" t="s">
        <v>23</v>
      </c>
    </row>
    <row r="231" spans="1:6" x14ac:dyDescent="0.55000000000000004">
      <c r="A231" t="s">
        <v>52</v>
      </c>
      <c r="B231">
        <v>1.7040090788218631E-4</v>
      </c>
      <c r="C231" t="s">
        <v>175</v>
      </c>
      <c r="D231" t="s">
        <v>30</v>
      </c>
      <c r="F231" t="s">
        <v>23</v>
      </c>
    </row>
    <row r="232" spans="1:6" x14ac:dyDescent="0.55000000000000004">
      <c r="A232" t="s">
        <v>52</v>
      </c>
      <c r="B232">
        <v>1.4314349753568329E-4</v>
      </c>
      <c r="C232" t="s">
        <v>146</v>
      </c>
      <c r="D232" t="s">
        <v>30</v>
      </c>
      <c r="F232" t="s">
        <v>23</v>
      </c>
    </row>
    <row r="233" spans="1:6" x14ac:dyDescent="0.55000000000000004">
      <c r="A233" t="s">
        <v>52</v>
      </c>
      <c r="B233">
        <v>1.798089025848886E-5</v>
      </c>
      <c r="C233" t="s">
        <v>169</v>
      </c>
      <c r="D233" t="s">
        <v>30</v>
      </c>
      <c r="F233" t="s">
        <v>23</v>
      </c>
    </row>
    <row r="234" spans="1:6" x14ac:dyDescent="0.55000000000000004">
      <c r="A234" t="s">
        <v>52</v>
      </c>
      <c r="B234">
        <v>9.7563381094070012E-5</v>
      </c>
      <c r="C234" t="s">
        <v>147</v>
      </c>
      <c r="D234" t="s">
        <v>30</v>
      </c>
      <c r="F234" t="s">
        <v>23</v>
      </c>
    </row>
    <row r="235" spans="1:6" x14ac:dyDescent="0.55000000000000004">
      <c r="A235" t="s">
        <v>52</v>
      </c>
      <c r="B235">
        <v>8.2801613555683577E-5</v>
      </c>
      <c r="C235" t="s">
        <v>167</v>
      </c>
      <c r="D235" t="s">
        <v>30</v>
      </c>
      <c r="F235" t="s">
        <v>23</v>
      </c>
    </row>
    <row r="236" spans="1:6" x14ac:dyDescent="0.55000000000000004">
      <c r="A236" t="s">
        <v>52</v>
      </c>
      <c r="B236">
        <v>5.1184918464480746E-4</v>
      </c>
      <c r="C236" t="s">
        <v>172</v>
      </c>
      <c r="D236" t="s">
        <v>30</v>
      </c>
      <c r="F236" t="s">
        <v>23</v>
      </c>
    </row>
    <row r="237" spans="1:6" x14ac:dyDescent="0.55000000000000004">
      <c r="A237" t="s">
        <v>52</v>
      </c>
      <c r="B237">
        <v>3.9244120626921503E-5</v>
      </c>
      <c r="C237" t="s">
        <v>166</v>
      </c>
      <c r="D237" t="s">
        <v>30</v>
      </c>
      <c r="F237" t="s">
        <v>23</v>
      </c>
    </row>
    <row r="238" spans="1:6" x14ac:dyDescent="0.55000000000000004">
      <c r="A238" t="s">
        <v>52</v>
      </c>
      <c r="B238">
        <v>6.3521910898943794E-4</v>
      </c>
      <c r="C238" t="s">
        <v>168</v>
      </c>
      <c r="D238" t="s">
        <v>30</v>
      </c>
      <c r="F238" t="s">
        <v>23</v>
      </c>
    </row>
    <row r="239" spans="1:6" x14ac:dyDescent="0.55000000000000004">
      <c r="A239" t="s">
        <v>186</v>
      </c>
      <c r="B239">
        <v>3.5972269319574498E-3</v>
      </c>
      <c r="C239" t="s">
        <v>3</v>
      </c>
      <c r="D239" t="s">
        <v>10</v>
      </c>
      <c r="F239" t="s">
        <v>23</v>
      </c>
    </row>
    <row r="240" spans="1:6" x14ac:dyDescent="0.55000000000000004">
      <c r="A240" t="s">
        <v>56</v>
      </c>
      <c r="B240">
        <v>2.3904804956326201E-2</v>
      </c>
      <c r="C240" t="s">
        <v>3</v>
      </c>
      <c r="D240" t="s">
        <v>10</v>
      </c>
      <c r="F240" t="s">
        <v>23</v>
      </c>
    </row>
    <row r="241" spans="1:6" x14ac:dyDescent="0.55000000000000004">
      <c r="A241" t="s">
        <v>60</v>
      </c>
      <c r="B241">
        <v>5.9160797830996197E-2</v>
      </c>
      <c r="C241" t="s">
        <v>26</v>
      </c>
      <c r="D241" t="s">
        <v>10</v>
      </c>
      <c r="F241" t="s">
        <v>23</v>
      </c>
    </row>
    <row r="242" spans="1:6" x14ac:dyDescent="0.55000000000000004">
      <c r="A242" t="s">
        <v>187</v>
      </c>
      <c r="B242">
        <v>1.54919333848297E-2</v>
      </c>
      <c r="C242" t="s">
        <v>22</v>
      </c>
      <c r="D242" t="s">
        <v>10</v>
      </c>
      <c r="F242" t="s">
        <v>23</v>
      </c>
    </row>
    <row r="243" spans="1:6" x14ac:dyDescent="0.55000000000000004">
      <c r="A243" t="s">
        <v>188</v>
      </c>
      <c r="B243">
        <v>3.6331804249169902E-7</v>
      </c>
      <c r="D243" t="s">
        <v>10</v>
      </c>
      <c r="E243" t="s">
        <v>66</v>
      </c>
      <c r="F243" t="s">
        <v>67</v>
      </c>
    </row>
    <row r="244" spans="1:6" x14ac:dyDescent="0.55000000000000004">
      <c r="A244" t="s">
        <v>189</v>
      </c>
      <c r="B244">
        <v>1.21655250605964E-8</v>
      </c>
      <c r="D244" t="s">
        <v>10</v>
      </c>
      <c r="E244" t="s">
        <v>66</v>
      </c>
      <c r="F244" t="s">
        <v>67</v>
      </c>
    </row>
    <row r="245" spans="1:6" x14ac:dyDescent="0.55000000000000004">
      <c r="A245" t="s">
        <v>64</v>
      </c>
      <c r="B245">
        <v>4.4147195870223602E-2</v>
      </c>
      <c r="D245" t="s">
        <v>10</v>
      </c>
      <c r="E245" t="s">
        <v>66</v>
      </c>
      <c r="F245" t="s">
        <v>67</v>
      </c>
    </row>
    <row r="246" spans="1:6" x14ac:dyDescent="0.55000000000000004">
      <c r="A246" t="s">
        <v>68</v>
      </c>
      <c r="B246">
        <v>4.7434164902525702E-4</v>
      </c>
      <c r="D246" t="s">
        <v>10</v>
      </c>
      <c r="E246" t="s">
        <v>66</v>
      </c>
      <c r="F246" t="s">
        <v>67</v>
      </c>
    </row>
    <row r="247" spans="1:6" x14ac:dyDescent="0.55000000000000004">
      <c r="A247" t="s">
        <v>69</v>
      </c>
      <c r="B247">
        <v>1.8330302779823401E-7</v>
      </c>
      <c r="D247" t="s">
        <v>10</v>
      </c>
      <c r="E247" t="s">
        <v>66</v>
      </c>
      <c r="F247" t="s">
        <v>67</v>
      </c>
    </row>
    <row r="248" spans="1:6" x14ac:dyDescent="0.55000000000000004">
      <c r="A248" t="s">
        <v>70</v>
      </c>
      <c r="B248">
        <v>7.4899933244295999E-8</v>
      </c>
      <c r="D248" t="s">
        <v>10</v>
      </c>
      <c r="E248" t="s">
        <v>66</v>
      </c>
      <c r="F248" t="s">
        <v>67</v>
      </c>
    </row>
    <row r="249" spans="1:6" x14ac:dyDescent="0.55000000000000004">
      <c r="A249" t="s">
        <v>71</v>
      </c>
      <c r="B249">
        <v>4.8989794855663596E-13</v>
      </c>
      <c r="D249" t="s">
        <v>10</v>
      </c>
      <c r="E249" t="s">
        <v>66</v>
      </c>
      <c r="F249" t="s">
        <v>67</v>
      </c>
    </row>
    <row r="250" spans="1:6" x14ac:dyDescent="0.55000000000000004">
      <c r="A250" t="s">
        <v>190</v>
      </c>
      <c r="B250">
        <v>1.5491933384829701E-9</v>
      </c>
      <c r="D250" t="s">
        <v>10</v>
      </c>
      <c r="E250" t="s">
        <v>66</v>
      </c>
      <c r="F250" t="s">
        <v>67</v>
      </c>
    </row>
    <row r="251" spans="1:6" x14ac:dyDescent="0.55000000000000004">
      <c r="A251" t="s">
        <v>191</v>
      </c>
      <c r="B251">
        <v>7.7008000000000005E-5</v>
      </c>
      <c r="D251" t="s">
        <v>10</v>
      </c>
      <c r="E251" t="s">
        <v>66</v>
      </c>
      <c r="F251" t="s">
        <v>67</v>
      </c>
    </row>
    <row r="252" spans="1:6" x14ac:dyDescent="0.55000000000000004">
      <c r="A252" t="s">
        <v>192</v>
      </c>
      <c r="B252">
        <v>5.3103672189406999E-6</v>
      </c>
      <c r="D252" t="s">
        <v>10</v>
      </c>
      <c r="E252" t="s">
        <v>66</v>
      </c>
      <c r="F252" t="s">
        <v>67</v>
      </c>
    </row>
    <row r="253" spans="1:6" x14ac:dyDescent="0.55000000000000004">
      <c r="A253" t="s">
        <v>193</v>
      </c>
      <c r="B253">
        <v>2.4494897427831801E-8</v>
      </c>
      <c r="D253" t="s">
        <v>10</v>
      </c>
      <c r="E253" t="s">
        <v>66</v>
      </c>
      <c r="F253" t="s">
        <v>67</v>
      </c>
    </row>
    <row r="254" spans="1:6" x14ac:dyDescent="0.55000000000000004">
      <c r="A254" t="s">
        <v>74</v>
      </c>
      <c r="B254">
        <v>4.6233105022267298E-7</v>
      </c>
      <c r="D254" t="s">
        <v>10</v>
      </c>
      <c r="E254" t="s">
        <v>66</v>
      </c>
      <c r="F254" t="s">
        <v>67</v>
      </c>
    </row>
    <row r="255" spans="1:6" x14ac:dyDescent="0.55000000000000004">
      <c r="A255" t="s">
        <v>194</v>
      </c>
      <c r="B255">
        <v>2E-8</v>
      </c>
      <c r="D255" t="s">
        <v>10</v>
      </c>
      <c r="E255" t="s">
        <v>66</v>
      </c>
      <c r="F255" t="s">
        <v>67</v>
      </c>
    </row>
    <row r="256" spans="1:6" x14ac:dyDescent="0.55000000000000004">
      <c r="A256" t="s">
        <v>195</v>
      </c>
      <c r="B256">
        <v>7.7459666924148295E-8</v>
      </c>
      <c r="D256" t="s">
        <v>10</v>
      </c>
      <c r="E256" t="s">
        <v>66</v>
      </c>
      <c r="F256" t="s">
        <v>67</v>
      </c>
    </row>
    <row r="257" spans="1:6" x14ac:dyDescent="0.55000000000000004">
      <c r="A257" t="s">
        <v>76</v>
      </c>
      <c r="B257">
        <v>7.7330459716724805E-5</v>
      </c>
      <c r="D257" t="s">
        <v>10</v>
      </c>
      <c r="E257" t="s">
        <v>66</v>
      </c>
      <c r="F257" t="s">
        <v>67</v>
      </c>
    </row>
    <row r="258" spans="1:6" x14ac:dyDescent="0.55000000000000004">
      <c r="A258" t="s">
        <v>77</v>
      </c>
      <c r="B258">
        <v>9.34344690143846E-8</v>
      </c>
      <c r="D258" t="s">
        <v>10</v>
      </c>
      <c r="E258" t="s">
        <v>66</v>
      </c>
      <c r="F258" t="s">
        <v>67</v>
      </c>
    </row>
    <row r="259" spans="1:6" x14ac:dyDescent="0.55000000000000004">
      <c r="A259" t="s">
        <v>78</v>
      </c>
      <c r="B259">
        <v>1.4722431864335501E-5</v>
      </c>
      <c r="D259" t="s">
        <v>10</v>
      </c>
      <c r="E259" t="s">
        <v>66</v>
      </c>
      <c r="F259" t="s">
        <v>67</v>
      </c>
    </row>
    <row r="260" spans="1:6" x14ac:dyDescent="0.55000000000000004">
      <c r="A260" t="s">
        <v>196</v>
      </c>
      <c r="B260">
        <v>5.1961524227066304E-6</v>
      </c>
      <c r="D260" t="s">
        <v>10</v>
      </c>
      <c r="E260" t="s">
        <v>66</v>
      </c>
      <c r="F260" t="s">
        <v>67</v>
      </c>
    </row>
    <row r="261" spans="1:6" x14ac:dyDescent="0.55000000000000004">
      <c r="A261" t="s">
        <v>197</v>
      </c>
      <c r="B261">
        <v>1.4722431864335501E-5</v>
      </c>
      <c r="D261" t="s">
        <v>10</v>
      </c>
      <c r="E261" t="s">
        <v>66</v>
      </c>
      <c r="F261" t="s">
        <v>67</v>
      </c>
    </row>
    <row r="262" spans="1:6" x14ac:dyDescent="0.55000000000000004">
      <c r="A262" t="s">
        <v>198</v>
      </c>
      <c r="B262">
        <v>2.2360679774997899E-10</v>
      </c>
      <c r="D262" t="s">
        <v>10</v>
      </c>
      <c r="E262" t="s">
        <v>66</v>
      </c>
      <c r="F262" t="s">
        <v>67</v>
      </c>
    </row>
    <row r="263" spans="1:6" x14ac:dyDescent="0.55000000000000004">
      <c r="A263" t="s">
        <v>199</v>
      </c>
      <c r="B263">
        <v>3.2403703492039302E-5</v>
      </c>
      <c r="D263" t="s">
        <v>10</v>
      </c>
      <c r="E263" t="s">
        <v>66</v>
      </c>
      <c r="F263" t="s">
        <v>67</v>
      </c>
    </row>
    <row r="264" spans="1:6" x14ac:dyDescent="0.55000000000000004">
      <c r="A264" t="s">
        <v>79</v>
      </c>
      <c r="B264">
        <v>2.9211686879823599E-3</v>
      </c>
      <c r="D264" t="s">
        <v>30</v>
      </c>
      <c r="E264" t="s">
        <v>66</v>
      </c>
      <c r="F264" t="s">
        <v>67</v>
      </c>
    </row>
    <row r="265" spans="1:6" x14ac:dyDescent="0.55000000000000004">
      <c r="A265" t="s">
        <v>200</v>
      </c>
      <c r="B265">
        <v>2.19089023002066E-6</v>
      </c>
      <c r="D265" t="s">
        <v>10</v>
      </c>
      <c r="E265" t="s">
        <v>66</v>
      </c>
      <c r="F265" t="s">
        <v>67</v>
      </c>
    </row>
    <row r="266" spans="1:6" x14ac:dyDescent="0.55000000000000004">
      <c r="A266" t="s">
        <v>79</v>
      </c>
      <c r="B266">
        <v>2.2952039691290001E-3</v>
      </c>
      <c r="D266" t="s">
        <v>30</v>
      </c>
      <c r="E266" t="s">
        <v>108</v>
      </c>
      <c r="F266" t="s">
        <v>67</v>
      </c>
    </row>
    <row r="267" spans="1:6" x14ac:dyDescent="0.55000000000000004">
      <c r="A267" t="s">
        <v>80</v>
      </c>
      <c r="B267">
        <v>6.5421708935184501E-3</v>
      </c>
      <c r="D267" t="s">
        <v>30</v>
      </c>
      <c r="E267" t="s">
        <v>81</v>
      </c>
      <c r="F267" t="s">
        <v>67</v>
      </c>
    </row>
    <row r="269" spans="1:6" x14ac:dyDescent="0.55000000000000004">
      <c r="A269" s="14" t="s">
        <v>1</v>
      </c>
      <c r="B269" s="14" t="s">
        <v>201</v>
      </c>
    </row>
    <row r="270" spans="1:6" x14ac:dyDescent="0.55000000000000004">
      <c r="A270" t="s">
        <v>4</v>
      </c>
    </row>
    <row r="271" spans="1:6" x14ac:dyDescent="0.55000000000000004">
      <c r="A271" t="s">
        <v>5</v>
      </c>
      <c r="B271" t="s">
        <v>6</v>
      </c>
    </row>
    <row r="272" spans="1:6" x14ac:dyDescent="0.55000000000000004">
      <c r="A272" t="s">
        <v>9</v>
      </c>
      <c r="B272" t="s">
        <v>10</v>
      </c>
    </row>
    <row r="273" spans="1:8" x14ac:dyDescent="0.55000000000000004">
      <c r="A273" t="s">
        <v>2</v>
      </c>
      <c r="B273" t="s">
        <v>3</v>
      </c>
    </row>
    <row r="274" spans="1:8" x14ac:dyDescent="0.55000000000000004">
      <c r="A274" t="s">
        <v>94</v>
      </c>
      <c r="B274" t="s">
        <v>136</v>
      </c>
    </row>
    <row r="275" spans="1:8" x14ac:dyDescent="0.55000000000000004">
      <c r="A275" t="s">
        <v>11</v>
      </c>
      <c r="B275" t="s">
        <v>137</v>
      </c>
    </row>
    <row r="276" spans="1:8" x14ac:dyDescent="0.55000000000000004">
      <c r="A276" t="s">
        <v>15</v>
      </c>
    </row>
    <row r="277" spans="1:8" x14ac:dyDescent="0.55000000000000004">
      <c r="A277" t="s">
        <v>16</v>
      </c>
      <c r="B277" t="s">
        <v>17</v>
      </c>
      <c r="C277" t="s">
        <v>2</v>
      </c>
      <c r="D277" t="s">
        <v>9</v>
      </c>
      <c r="E277" t="s">
        <v>18</v>
      </c>
      <c r="F277" t="s">
        <v>7</v>
      </c>
      <c r="G277" t="s">
        <v>5</v>
      </c>
      <c r="H277" t="s">
        <v>94</v>
      </c>
    </row>
    <row r="278" spans="1:8" x14ac:dyDescent="0.55000000000000004">
      <c r="A278" t="s">
        <v>201</v>
      </c>
      <c r="B278">
        <v>1</v>
      </c>
      <c r="C278" t="s">
        <v>3</v>
      </c>
      <c r="D278" t="s">
        <v>10</v>
      </c>
      <c r="F278" t="s">
        <v>20</v>
      </c>
      <c r="G278" t="s">
        <v>6</v>
      </c>
    </row>
    <row r="279" spans="1:8" x14ac:dyDescent="0.55000000000000004">
      <c r="A279" t="s">
        <v>125</v>
      </c>
      <c r="B279">
        <v>-1.9396E-2</v>
      </c>
      <c r="C279" t="s">
        <v>3</v>
      </c>
      <c r="D279" t="s">
        <v>10</v>
      </c>
      <c r="F279" t="s">
        <v>23</v>
      </c>
      <c r="G279" t="s">
        <v>126</v>
      </c>
    </row>
    <row r="280" spans="1:8" x14ac:dyDescent="0.55000000000000004">
      <c r="A280" t="s">
        <v>127</v>
      </c>
      <c r="B280">
        <v>-3.0079999999999999E-4</v>
      </c>
      <c r="C280" t="s">
        <v>3</v>
      </c>
      <c r="D280" t="s">
        <v>10</v>
      </c>
      <c r="F280" t="s">
        <v>23</v>
      </c>
      <c r="G280" t="s">
        <v>128</v>
      </c>
    </row>
    <row r="281" spans="1:8" x14ac:dyDescent="0.55000000000000004">
      <c r="A281" t="s">
        <v>129</v>
      </c>
      <c r="B281">
        <v>-0.10489759999999999</v>
      </c>
      <c r="C281" t="s">
        <v>3</v>
      </c>
      <c r="D281" t="s">
        <v>10</v>
      </c>
      <c r="F281" t="s">
        <v>23</v>
      </c>
      <c r="G281" t="s">
        <v>130</v>
      </c>
    </row>
    <row r="282" spans="1:8" x14ac:dyDescent="0.55000000000000004">
      <c r="A282" t="s">
        <v>131</v>
      </c>
      <c r="B282">
        <v>-3.0079999999999999E-4</v>
      </c>
      <c r="C282" t="s">
        <v>3</v>
      </c>
      <c r="D282" t="s">
        <v>10</v>
      </c>
      <c r="F282" t="s">
        <v>23</v>
      </c>
      <c r="G282" t="s">
        <v>132</v>
      </c>
    </row>
    <row r="283" spans="1:8" x14ac:dyDescent="0.55000000000000004">
      <c r="A283" t="s">
        <v>21</v>
      </c>
      <c r="B283">
        <v>1.3333000000000001E-11</v>
      </c>
      <c r="C283" t="s">
        <v>22</v>
      </c>
      <c r="D283" t="s">
        <v>9</v>
      </c>
      <c r="F283" t="s">
        <v>23</v>
      </c>
      <c r="G283" t="s">
        <v>24</v>
      </c>
    </row>
    <row r="284" spans="1:8" x14ac:dyDescent="0.55000000000000004">
      <c r="A284" t="s">
        <v>25</v>
      </c>
      <c r="B284">
        <v>1.8321595661992301E-4</v>
      </c>
      <c r="C284" t="s">
        <v>26</v>
      </c>
      <c r="D284" t="s">
        <v>27</v>
      </c>
      <c r="F284" t="s">
        <v>23</v>
      </c>
      <c r="G284" t="s">
        <v>28</v>
      </c>
    </row>
    <row r="285" spans="1:8" x14ac:dyDescent="0.55000000000000004">
      <c r="A285" t="s">
        <v>29</v>
      </c>
      <c r="B285">
        <v>1.4422205101856E-2</v>
      </c>
      <c r="C285" t="s">
        <v>3</v>
      </c>
      <c r="D285" t="s">
        <v>30</v>
      </c>
      <c r="F285" t="s">
        <v>23</v>
      </c>
      <c r="G285" t="s">
        <v>31</v>
      </c>
    </row>
    <row r="286" spans="1:8" x14ac:dyDescent="0.55000000000000004">
      <c r="A286" t="s">
        <v>32</v>
      </c>
      <c r="B286">
        <v>4.4221766846903798E-3</v>
      </c>
      <c r="C286" t="s">
        <v>3</v>
      </c>
      <c r="D286" t="s">
        <v>10</v>
      </c>
      <c r="F286" t="s">
        <v>23</v>
      </c>
      <c r="G286" t="s">
        <v>33</v>
      </c>
    </row>
    <row r="287" spans="1:8" x14ac:dyDescent="0.55000000000000004">
      <c r="A287" t="s">
        <v>34</v>
      </c>
      <c r="B287">
        <v>2.4152313898818101E-2</v>
      </c>
      <c r="C287" t="s">
        <v>3</v>
      </c>
      <c r="D287" t="s">
        <v>35</v>
      </c>
      <c r="F287" t="s">
        <v>23</v>
      </c>
      <c r="G287" t="s">
        <v>36</v>
      </c>
    </row>
    <row r="288" spans="1:8" x14ac:dyDescent="0.55000000000000004">
      <c r="A288" t="s">
        <v>37</v>
      </c>
      <c r="B288">
        <v>1.5278E-2</v>
      </c>
      <c r="C288" t="s">
        <v>22</v>
      </c>
      <c r="D288" t="s">
        <v>10</v>
      </c>
      <c r="F288" t="s">
        <v>23</v>
      </c>
      <c r="G288" t="s">
        <v>38</v>
      </c>
    </row>
    <row r="289" spans="1:7" x14ac:dyDescent="0.55000000000000004">
      <c r="A289" t="s">
        <v>39</v>
      </c>
      <c r="B289">
        <v>4.4999999999999998E-2</v>
      </c>
      <c r="C289" t="s">
        <v>22</v>
      </c>
      <c r="D289" t="s">
        <v>10</v>
      </c>
      <c r="F289" t="s">
        <v>23</v>
      </c>
      <c r="G289" t="s">
        <v>40</v>
      </c>
    </row>
    <row r="290" spans="1:7" x14ac:dyDescent="0.55000000000000004">
      <c r="A290" t="s">
        <v>41</v>
      </c>
      <c r="B290">
        <v>-5.6568500000000002E-4</v>
      </c>
      <c r="C290" t="s">
        <v>42</v>
      </c>
      <c r="D290" t="s">
        <v>10</v>
      </c>
      <c r="F290" t="s">
        <v>23</v>
      </c>
      <c r="G290" t="s">
        <v>43</v>
      </c>
    </row>
    <row r="291" spans="1:7" x14ac:dyDescent="0.55000000000000004">
      <c r="A291" t="s">
        <v>44</v>
      </c>
      <c r="B291">
        <v>6.2289646009589699E-4</v>
      </c>
      <c r="C291" t="s">
        <v>22</v>
      </c>
      <c r="D291" t="s">
        <v>10</v>
      </c>
      <c r="F291" t="s">
        <v>23</v>
      </c>
      <c r="G291" t="s">
        <v>45</v>
      </c>
    </row>
    <row r="292" spans="1:7" x14ac:dyDescent="0.55000000000000004">
      <c r="A292" t="s">
        <v>46</v>
      </c>
      <c r="B292">
        <v>0</v>
      </c>
      <c r="C292" t="s">
        <v>3</v>
      </c>
      <c r="D292" t="s">
        <v>10</v>
      </c>
      <c r="F292" t="s">
        <v>23</v>
      </c>
      <c r="G292" t="s">
        <v>47</v>
      </c>
    </row>
    <row r="293" spans="1:7" x14ac:dyDescent="0.55000000000000004">
      <c r="A293" t="s">
        <v>48</v>
      </c>
      <c r="B293">
        <v>-6.6299999999999999E-5</v>
      </c>
      <c r="C293" t="s">
        <v>3</v>
      </c>
      <c r="D293" t="s">
        <v>10</v>
      </c>
      <c r="F293" t="s">
        <v>23</v>
      </c>
      <c r="G293" t="s">
        <v>49</v>
      </c>
    </row>
    <row r="294" spans="1:7" x14ac:dyDescent="0.55000000000000004">
      <c r="A294" t="s">
        <v>50</v>
      </c>
      <c r="B294">
        <v>5.9648999999999998E-4</v>
      </c>
      <c r="C294" t="s">
        <v>22</v>
      </c>
      <c r="D294" t="s">
        <v>10</v>
      </c>
      <c r="F294" t="s">
        <v>23</v>
      </c>
      <c r="G294" t="s">
        <v>51</v>
      </c>
    </row>
    <row r="295" spans="1:7" x14ac:dyDescent="0.55000000000000004">
      <c r="A295" t="s">
        <v>52</v>
      </c>
      <c r="B295">
        <v>8.3241951376564305E-6</v>
      </c>
      <c r="C295" t="s">
        <v>42</v>
      </c>
      <c r="D295" t="s">
        <v>30</v>
      </c>
      <c r="F295" t="s">
        <v>23</v>
      </c>
      <c r="G295" t="s">
        <v>53</v>
      </c>
    </row>
    <row r="296" spans="1:7" x14ac:dyDescent="0.55000000000000004">
      <c r="A296" t="s">
        <v>54</v>
      </c>
      <c r="B296">
        <v>1.1938615972120739E-3</v>
      </c>
      <c r="C296" t="s">
        <v>55</v>
      </c>
      <c r="D296" t="s">
        <v>30</v>
      </c>
      <c r="F296" t="s">
        <v>23</v>
      </c>
      <c r="G296" t="s">
        <v>53</v>
      </c>
    </row>
    <row r="297" spans="1:7" x14ac:dyDescent="0.55000000000000004">
      <c r="A297" t="s">
        <v>56</v>
      </c>
      <c r="B297">
        <v>7.8053996310246704E-2</v>
      </c>
      <c r="C297" t="s">
        <v>3</v>
      </c>
      <c r="D297" t="s">
        <v>10</v>
      </c>
      <c r="F297" t="s">
        <v>23</v>
      </c>
      <c r="G297" t="s">
        <v>57</v>
      </c>
    </row>
    <row r="298" spans="1:7" x14ac:dyDescent="0.55000000000000004">
      <c r="A298" t="s">
        <v>58</v>
      </c>
      <c r="B298">
        <v>1.0668094029999999</v>
      </c>
      <c r="C298" t="s">
        <v>3</v>
      </c>
      <c r="D298" t="s">
        <v>10</v>
      </c>
      <c r="F298" t="s">
        <v>23</v>
      </c>
      <c r="G298" t="s">
        <v>59</v>
      </c>
    </row>
    <row r="299" spans="1:7" x14ac:dyDescent="0.55000000000000004">
      <c r="A299" t="s">
        <v>60</v>
      </c>
      <c r="B299">
        <v>4.4833023542919799E-2</v>
      </c>
      <c r="C299" t="s">
        <v>42</v>
      </c>
      <c r="D299" t="s">
        <v>10</v>
      </c>
      <c r="F299" t="s">
        <v>23</v>
      </c>
      <c r="G299" t="s">
        <v>61</v>
      </c>
    </row>
    <row r="300" spans="1:7" x14ac:dyDescent="0.55000000000000004">
      <c r="A300" t="s">
        <v>62</v>
      </c>
      <c r="B300">
        <v>-3.2890823640570011E-5</v>
      </c>
      <c r="C300" t="s">
        <v>42</v>
      </c>
      <c r="D300" t="s">
        <v>30</v>
      </c>
      <c r="F300" t="s">
        <v>23</v>
      </c>
      <c r="G300" t="s">
        <v>63</v>
      </c>
    </row>
    <row r="301" spans="1:7" x14ac:dyDescent="0.55000000000000004">
      <c r="A301" t="s">
        <v>62</v>
      </c>
      <c r="B301">
        <v>-1.3087499628593E-3</v>
      </c>
      <c r="C301" t="s">
        <v>55</v>
      </c>
      <c r="D301" t="s">
        <v>30</v>
      </c>
      <c r="F301" t="s">
        <v>23</v>
      </c>
      <c r="G301" t="s">
        <v>63</v>
      </c>
    </row>
    <row r="302" spans="1:7" x14ac:dyDescent="0.55000000000000004">
      <c r="A302" t="s">
        <v>64</v>
      </c>
      <c r="B302">
        <v>6.2708851049911599E-2</v>
      </c>
      <c r="D302" t="s">
        <v>10</v>
      </c>
      <c r="E302" t="s">
        <v>66</v>
      </c>
      <c r="F302" t="s">
        <v>67</v>
      </c>
    </row>
    <row r="303" spans="1:7" x14ac:dyDescent="0.55000000000000004">
      <c r="A303" t="s">
        <v>68</v>
      </c>
      <c r="B303">
        <v>1.68214149226514E-3</v>
      </c>
      <c r="D303" t="s">
        <v>10</v>
      </c>
      <c r="E303" t="s">
        <v>66</v>
      </c>
      <c r="F303" t="s">
        <v>67</v>
      </c>
    </row>
    <row r="304" spans="1:7" x14ac:dyDescent="0.55000000000000004">
      <c r="A304" t="s">
        <v>69</v>
      </c>
      <c r="B304">
        <v>2.7386127875258301E-8</v>
      </c>
      <c r="D304" t="s">
        <v>10</v>
      </c>
      <c r="E304" t="s">
        <v>66</v>
      </c>
      <c r="F304" t="s">
        <v>67</v>
      </c>
    </row>
    <row r="305" spans="1:6" x14ac:dyDescent="0.55000000000000004">
      <c r="A305" t="s">
        <v>70</v>
      </c>
      <c r="B305">
        <v>1.3868418961177301E-7</v>
      </c>
      <c r="D305" t="s">
        <v>10</v>
      </c>
      <c r="E305" t="s">
        <v>66</v>
      </c>
      <c r="F305" t="s">
        <v>67</v>
      </c>
    </row>
    <row r="306" spans="1:6" x14ac:dyDescent="0.55000000000000004">
      <c r="A306" t="s">
        <v>71</v>
      </c>
      <c r="B306">
        <v>6.3576725301009299E-14</v>
      </c>
      <c r="D306" t="s">
        <v>10</v>
      </c>
      <c r="E306" t="s">
        <v>66</v>
      </c>
      <c r="F306" t="s">
        <v>67</v>
      </c>
    </row>
    <row r="307" spans="1:6" x14ac:dyDescent="0.55000000000000004">
      <c r="A307" t="s">
        <v>72</v>
      </c>
      <c r="B307">
        <v>0.204696179355145</v>
      </c>
      <c r="D307" t="s">
        <v>27</v>
      </c>
      <c r="E307" t="s">
        <v>66</v>
      </c>
      <c r="F307" t="s">
        <v>67</v>
      </c>
    </row>
    <row r="308" spans="1:6" x14ac:dyDescent="0.55000000000000004">
      <c r="A308" t="s">
        <v>73</v>
      </c>
      <c r="B308">
        <v>4.1149999999999997E-5</v>
      </c>
      <c r="D308" t="s">
        <v>10</v>
      </c>
      <c r="E308" t="s">
        <v>66</v>
      </c>
      <c r="F308" t="s">
        <v>67</v>
      </c>
    </row>
    <row r="309" spans="1:6" x14ac:dyDescent="0.55000000000000004">
      <c r="A309" t="s">
        <v>74</v>
      </c>
      <c r="B309">
        <v>4.08166632639171E-7</v>
      </c>
      <c r="D309" t="s">
        <v>10</v>
      </c>
      <c r="E309" t="s">
        <v>66</v>
      </c>
      <c r="F309" t="s">
        <v>67</v>
      </c>
    </row>
    <row r="310" spans="1:6" x14ac:dyDescent="0.55000000000000004">
      <c r="A310" t="s">
        <v>75</v>
      </c>
      <c r="B310">
        <v>6.8410525505948304E-7</v>
      </c>
      <c r="D310" t="s">
        <v>10</v>
      </c>
      <c r="E310" t="s">
        <v>66</v>
      </c>
      <c r="F310" t="s">
        <v>67</v>
      </c>
    </row>
    <row r="311" spans="1:6" x14ac:dyDescent="0.55000000000000004">
      <c r="A311" t="s">
        <v>76</v>
      </c>
      <c r="B311">
        <v>2.1236760581595299E-5</v>
      </c>
      <c r="D311" t="s">
        <v>10</v>
      </c>
      <c r="E311" t="s">
        <v>66</v>
      </c>
      <c r="F311" t="s">
        <v>67</v>
      </c>
    </row>
    <row r="312" spans="1:6" x14ac:dyDescent="0.55000000000000004">
      <c r="A312" t="s">
        <v>77</v>
      </c>
      <c r="B312">
        <v>1E-8</v>
      </c>
      <c r="D312" t="s">
        <v>10</v>
      </c>
      <c r="E312" t="s">
        <v>66</v>
      </c>
      <c r="F312" t="s">
        <v>67</v>
      </c>
    </row>
    <row r="313" spans="1:6" x14ac:dyDescent="0.55000000000000004">
      <c r="A313" t="s">
        <v>78</v>
      </c>
      <c r="B313">
        <v>4.47437146423942E-5</v>
      </c>
      <c r="D313" t="s">
        <v>10</v>
      </c>
      <c r="E313" t="s">
        <v>66</v>
      </c>
      <c r="F313" t="s">
        <v>67</v>
      </c>
    </row>
    <row r="314" spans="1:6" x14ac:dyDescent="0.55000000000000004">
      <c r="A314" t="s">
        <v>79</v>
      </c>
      <c r="B314">
        <v>6.1184085870649701E-3</v>
      </c>
      <c r="D314" t="s">
        <v>30</v>
      </c>
      <c r="E314" t="s">
        <v>66</v>
      </c>
      <c r="F314" t="s">
        <v>67</v>
      </c>
    </row>
    <row r="315" spans="1:6" x14ac:dyDescent="0.55000000000000004">
      <c r="A315" t="s">
        <v>80</v>
      </c>
      <c r="B315">
        <v>5.7758116312774596E-3</v>
      </c>
      <c r="D315" t="s">
        <v>30</v>
      </c>
      <c r="E315" t="s">
        <v>81</v>
      </c>
      <c r="F315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Terlouw Tom Mike</dc:creator>
  <cp:lastModifiedBy>Terlouw, Tom Mike</cp:lastModifiedBy>
  <dcterms:created xsi:type="dcterms:W3CDTF">2024-12-04T14:59:18Z</dcterms:created>
  <dcterms:modified xsi:type="dcterms:W3CDTF">2026-03-07T18:32:08Z</dcterms:modified>
</cp:coreProperties>
</file>